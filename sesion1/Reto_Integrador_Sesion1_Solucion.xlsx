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Limpi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dicadores" sheetId="3" state="visible" r:id="rId3"/>
  </sheets>
  <definedNames>
    <definedName name="_xlnm._FilterDatabase" localSheetId="0" hidden="1">'Datos_Limpios'!$A$1:$I$26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VENDEDOR</t>
        </is>
      </c>
      <c r="D1" s="1" t="inlineStr">
        <is>
          <t>REGION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MONTO</t>
        </is>
      </c>
      <c r="H1" s="1" t="inlineStr">
        <is>
          <t>ESTATUS</t>
        </is>
      </c>
      <c r="I1" s="1" t="inlineStr">
        <is>
          <t>OBSERVACIONES</t>
        </is>
      </c>
    </row>
    <row r="2">
      <c r="A2" s="2" t="inlineStr">
        <is>
          <t>VT-001</t>
        </is>
      </c>
      <c r="B2" s="3" t="inlineStr">
        <is>
          <t>12/03/2024</t>
        </is>
      </c>
      <c r="C2" s="2" t="inlineStr">
        <is>
          <t>Ana Maria</t>
        </is>
      </c>
      <c r="D2" s="2" t="inlineStr">
        <is>
          <t>Guadalajara</t>
        </is>
      </c>
      <c r="E2" s="2" t="inlineStr">
        <is>
          <t>Laptop Lenovo</t>
        </is>
      </c>
      <c r="F2" s="2" t="n">
        <v>2</v>
      </c>
      <c r="G2" s="4" t="n">
        <v>1250</v>
      </c>
      <c r="H2" s="2" t="inlineStr">
        <is>
          <t>Pendiente</t>
        </is>
      </c>
      <c r="I2" s="2" t="inlineStr">
        <is>
          <t>Revisar</t>
        </is>
      </c>
    </row>
    <row r="3">
      <c r="A3" s="2" t="inlineStr">
        <is>
          <t>VT-002</t>
        </is>
      </c>
      <c r="B3" s="3" t="inlineStr">
        <is>
          <t>2024-04-09</t>
        </is>
      </c>
      <c r="C3" s="2" t="inlineStr">
        <is>
          <t>Javier</t>
        </is>
      </c>
      <c r="D3" s="2" t="inlineStr">
        <is>
          <t>Mexicali</t>
        </is>
      </c>
      <c r="E3" s="2" t="inlineStr">
        <is>
          <t>Monitor 24</t>
        </is>
      </c>
      <c r="F3" s="2" t="n">
        <v>1</v>
      </c>
      <c r="G3" s="4" t="n">
        <v>820</v>
      </c>
      <c r="H3" s="2" t="inlineStr">
        <is>
          <t>Completado</t>
        </is>
      </c>
      <c r="I3" s="2" t="inlineStr">
        <is>
          <t>ok</t>
        </is>
      </c>
    </row>
    <row r="4">
      <c r="A4" s="2" t="inlineStr">
        <is>
          <t>VT-003</t>
        </is>
      </c>
      <c r="B4" s="3" t="inlineStr">
        <is>
          <t>05/04/2024</t>
        </is>
      </c>
      <c r="C4" s="2" t="inlineStr">
        <is>
          <t>Juan Perez</t>
        </is>
      </c>
      <c r="D4" s="2" t="inlineStr">
        <is>
          <t>Tijuana</t>
        </is>
      </c>
      <c r="E4" s="2" t="inlineStr">
        <is>
          <t>Silla Ergonómica</t>
        </is>
      </c>
      <c r="F4" s="2" t="n">
        <v>3</v>
      </c>
      <c r="G4" s="4" t="n">
        <v>980</v>
      </c>
      <c r="H4" s="2" t="inlineStr">
        <is>
          <t>Pendiente</t>
        </is>
      </c>
      <c r="I4" s="2" t="inlineStr"/>
    </row>
    <row r="5">
      <c r="A5" s="2" t="inlineStr">
        <is>
          <t>VT-004</t>
        </is>
      </c>
      <c r="B5" s="3" t="inlineStr">
        <is>
          <t>2024-05-12</t>
        </is>
      </c>
      <c r="C5" s="2" t="inlineStr">
        <is>
          <t>Ana Maria</t>
        </is>
      </c>
      <c r="D5" s="2" t="inlineStr">
        <is>
          <t>Guadalajara</t>
        </is>
      </c>
      <c r="E5" s="2" t="inlineStr">
        <is>
          <t>Teclado</t>
        </is>
      </c>
      <c r="F5" s="2" t="n">
        <v>1</v>
      </c>
      <c r="G5" s="4" t="n">
        <v>250</v>
      </c>
      <c r="H5" s="2" t="inlineStr">
        <is>
          <t>Completado</t>
        </is>
      </c>
      <c r="I5" s="2" t="inlineStr">
        <is>
          <t>ok</t>
        </is>
      </c>
    </row>
    <row r="6">
      <c r="A6" s="2" t="inlineStr">
        <is>
          <t>VT-005</t>
        </is>
      </c>
      <c r="B6" s="3" t="inlineStr">
        <is>
          <t>18-03-2024</t>
        </is>
      </c>
      <c r="C6" s="2" t="inlineStr">
        <is>
          <t>Pablo</t>
        </is>
      </c>
      <c r="D6" s="2" t="inlineStr">
        <is>
          <t>Mexicali</t>
        </is>
      </c>
      <c r="E6" s="2" t="inlineStr">
        <is>
          <t>Mouse</t>
        </is>
      </c>
      <c r="F6" s="2" t="n">
        <v>5</v>
      </c>
      <c r="G6" s="4" t="n">
        <v>1120</v>
      </c>
      <c r="H6" s="2" t="inlineStr">
        <is>
          <t>Pendiente</t>
        </is>
      </c>
      <c r="I6" s="2" t="inlineStr">
        <is>
          <t>cargo especial</t>
        </is>
      </c>
    </row>
    <row r="7">
      <c r="A7" s="2" t="inlineStr">
        <is>
          <t>VT-006</t>
        </is>
      </c>
      <c r="B7" s="3" t="inlineStr">
        <is>
          <t>2024-06-01</t>
        </is>
      </c>
      <c r="C7" s="2" t="inlineStr">
        <is>
          <t>Marta Lopez</t>
        </is>
      </c>
      <c r="D7" s="2" t="inlineStr">
        <is>
          <t>Tijuana</t>
        </is>
      </c>
      <c r="E7" s="2" t="inlineStr">
        <is>
          <t>Laptop Hp</t>
        </is>
      </c>
      <c r="F7" s="2" t="n">
        <v>2</v>
      </c>
      <c r="G7" s="4" t="n">
        <v>2400</v>
      </c>
      <c r="H7" s="2" t="inlineStr">
        <is>
          <t>Completado</t>
        </is>
      </c>
      <c r="I7" s="2" t="inlineStr">
        <is>
          <t>ok</t>
        </is>
      </c>
    </row>
    <row r="8">
      <c r="A8" s="2" t="inlineStr">
        <is>
          <t>VT-007</t>
        </is>
      </c>
      <c r="B8" s="3" t="inlineStr">
        <is>
          <t>04/07/2024</t>
        </is>
      </c>
      <c r="C8" s="2" t="inlineStr">
        <is>
          <t>Javier</t>
        </is>
      </c>
      <c r="D8" s="2" t="inlineStr">
        <is>
          <t>Guadalajara</t>
        </is>
      </c>
      <c r="E8" s="2" t="inlineStr">
        <is>
          <t>Impresora</t>
        </is>
      </c>
      <c r="F8" s="2" t="n">
        <v>1</v>
      </c>
      <c r="G8" s="4" t="n">
        <v>1500</v>
      </c>
      <c r="H8" s="2" t="inlineStr">
        <is>
          <t>Pendiente</t>
        </is>
      </c>
      <c r="I8" s="2" t="inlineStr">
        <is>
          <t>revisión</t>
        </is>
      </c>
    </row>
    <row r="9">
      <c r="A9" s="2" t="inlineStr">
        <is>
          <t>VT-008</t>
        </is>
      </c>
      <c r="B9" s="3" t="inlineStr">
        <is>
          <t>2024-07-09</t>
        </is>
      </c>
      <c r="C9" s="2" t="inlineStr">
        <is>
          <t>Carlos</t>
        </is>
      </c>
      <c r="D9" s="2" t="inlineStr">
        <is>
          <t>Monterrey</t>
        </is>
      </c>
      <c r="E9" s="2" t="inlineStr">
        <is>
          <t>Monitor 27</t>
        </is>
      </c>
      <c r="F9" s="2" t="n">
        <v>2</v>
      </c>
      <c r="G9" s="4" t="n">
        <v>1900</v>
      </c>
      <c r="H9" s="2" t="inlineStr">
        <is>
          <t>Completado</t>
        </is>
      </c>
      <c r="I9" s="2" t="inlineStr"/>
    </row>
    <row r="10">
      <c r="A10" s="2" t="inlineStr">
        <is>
          <t>VT-009</t>
        </is>
      </c>
      <c r="B10" s="3" t="inlineStr">
        <is>
          <t>21/04/2024</t>
        </is>
      </c>
      <c r="C10" s="2" t="inlineStr">
        <is>
          <t>Juan Perez</t>
        </is>
      </c>
      <c r="D10" s="2" t="inlineStr">
        <is>
          <t>Guadalajara</t>
        </is>
      </c>
      <c r="E10" s="2" t="inlineStr">
        <is>
          <t>Laptop Dell</t>
        </is>
      </c>
      <c r="F10" s="2" t="n">
        <v>1</v>
      </c>
      <c r="G10" s="4" t="n">
        <v>3250</v>
      </c>
      <c r="H10" s="2" t="inlineStr">
        <is>
          <t>Pendiente</t>
        </is>
      </c>
      <c r="I10" s="2" t="inlineStr">
        <is>
          <t>urgente</t>
        </is>
      </c>
    </row>
    <row r="11">
      <c r="A11" s="2" t="inlineStr">
        <is>
          <t>VT-010</t>
        </is>
      </c>
      <c r="B11" s="3" t="inlineStr">
        <is>
          <t>2024-10-02</t>
        </is>
      </c>
      <c r="C11" s="2" t="inlineStr">
        <is>
          <t>Ana Maria</t>
        </is>
      </c>
      <c r="D11" s="2" t="inlineStr">
        <is>
          <t>Guadalajara</t>
        </is>
      </c>
      <c r="E11" s="2" t="inlineStr">
        <is>
          <t>Escritorio</t>
        </is>
      </c>
      <c r="F11" s="2" t="n">
        <v>1</v>
      </c>
      <c r="G11" s="4" t="n">
        <v>4900</v>
      </c>
      <c r="H11" s="2" t="inlineStr">
        <is>
          <t>Pendiente</t>
        </is>
      </c>
      <c r="I11" s="2" t="inlineStr">
        <is>
          <t>Alta prioridad</t>
        </is>
      </c>
    </row>
    <row r="12">
      <c r="A12" s="2" t="inlineStr">
        <is>
          <t>VT-011</t>
        </is>
      </c>
      <c r="B12" s="3" t="inlineStr">
        <is>
          <t>09/06/2024</t>
        </is>
      </c>
      <c r="C12" s="2" t="inlineStr">
        <is>
          <t>Marta Lopez</t>
        </is>
      </c>
      <c r="D12" s="2" t="inlineStr">
        <is>
          <t>Tijuana</t>
        </is>
      </c>
      <c r="E12" s="2" t="inlineStr">
        <is>
          <t>Webcam</t>
        </is>
      </c>
      <c r="F12" s="2" t="n">
        <v>4</v>
      </c>
      <c r="G12" s="4" t="n">
        <v>620</v>
      </c>
      <c r="H12" s="2" t="inlineStr">
        <is>
          <t>Completado</t>
        </is>
      </c>
      <c r="I12" s="2" t="inlineStr">
        <is>
          <t>ok</t>
        </is>
      </c>
    </row>
    <row r="13">
      <c r="A13" s="2" t="inlineStr">
        <is>
          <t>VT-012</t>
        </is>
      </c>
      <c r="B13" s="3" t="inlineStr">
        <is>
          <t>2024-11-07</t>
        </is>
      </c>
      <c r="C13" s="2" t="inlineStr">
        <is>
          <t>Pablo</t>
        </is>
      </c>
      <c r="D13" s="2" t="inlineStr">
        <is>
          <t>Mexicali</t>
        </is>
      </c>
      <c r="E13" s="2" t="inlineStr">
        <is>
          <t>Silla Ergonómica</t>
        </is>
      </c>
      <c r="F13" s="2" t="n">
        <v>2</v>
      </c>
      <c r="G13" s="4" t="n">
        <v>1100</v>
      </c>
      <c r="H13" s="2" t="inlineStr">
        <is>
          <t>Pendiente</t>
        </is>
      </c>
      <c r="I13" s="2" t="inlineStr">
        <is>
          <t>revisión</t>
        </is>
      </c>
    </row>
    <row r="14">
      <c r="A14" s="2" t="inlineStr">
        <is>
          <t>VT-013</t>
        </is>
      </c>
      <c r="B14" s="3" t="inlineStr">
        <is>
          <t>07/12/2024</t>
        </is>
      </c>
      <c r="C14" s="2" t="inlineStr">
        <is>
          <t>Carlos</t>
        </is>
      </c>
      <c r="D14" s="2" t="inlineStr">
        <is>
          <t>Monterrey</t>
        </is>
      </c>
      <c r="E14" s="2" t="inlineStr">
        <is>
          <t>Laptop Lenovo</t>
        </is>
      </c>
      <c r="F14" s="2" t="n">
        <v>1</v>
      </c>
      <c r="G14" s="4" t="n">
        <v>4750</v>
      </c>
      <c r="H14" s="2" t="inlineStr">
        <is>
          <t>Completado</t>
        </is>
      </c>
      <c r="I14" s="2" t="inlineStr">
        <is>
          <t>ok</t>
        </is>
      </c>
    </row>
    <row r="15">
      <c r="A15" s="2" t="inlineStr">
        <is>
          <t>VT-014</t>
        </is>
      </c>
      <c r="B15" s="3" t="inlineStr">
        <is>
          <t>2024-03-15</t>
        </is>
      </c>
      <c r="C15" s="2" t="inlineStr">
        <is>
          <t>Javier</t>
        </is>
      </c>
      <c r="D15" s="2" t="inlineStr">
        <is>
          <t>Guadalajara</t>
        </is>
      </c>
      <c r="E15" s="2" t="inlineStr">
        <is>
          <t>Mouse</t>
        </is>
      </c>
      <c r="F15" s="2" t="n">
        <v>10</v>
      </c>
      <c r="G15" s="4" t="n">
        <v>450</v>
      </c>
      <c r="H15" s="2" t="inlineStr">
        <is>
          <t>Pendiente</t>
        </is>
      </c>
      <c r="I15" s="2" t="inlineStr"/>
    </row>
    <row r="16">
      <c r="A16" s="2" t="inlineStr">
        <is>
          <t>VT-015</t>
        </is>
      </c>
      <c r="B16" s="3" t="inlineStr">
        <is>
          <t>10/05/2024</t>
        </is>
      </c>
      <c r="C16" s="2" t="inlineStr">
        <is>
          <t>Ana Maria</t>
        </is>
      </c>
      <c r="D16" s="2" t="inlineStr">
        <is>
          <t>Tijuana</t>
        </is>
      </c>
      <c r="E16" s="2" t="inlineStr">
        <is>
          <t>Monitor 24</t>
        </is>
      </c>
      <c r="F16" s="2" t="n">
        <v>2</v>
      </c>
      <c r="G16" s="4" t="n">
        <v>1540</v>
      </c>
      <c r="H16" s="2" t="inlineStr">
        <is>
          <t>Completado</t>
        </is>
      </c>
      <c r="I16" s="2" t="inlineStr">
        <is>
          <t>ok</t>
        </is>
      </c>
    </row>
    <row r="17">
      <c r="A17" s="2" t="inlineStr">
        <is>
          <t>VT-016</t>
        </is>
      </c>
      <c r="B17" s="3" t="inlineStr">
        <is>
          <t>2024-12-04</t>
        </is>
      </c>
      <c r="C17" s="2" t="inlineStr">
        <is>
          <t>Pablo</t>
        </is>
      </c>
      <c r="D17" s="2" t="inlineStr">
        <is>
          <t>Mexicali</t>
        </is>
      </c>
      <c r="E17" s="2" t="inlineStr">
        <is>
          <t>Laptop Hp</t>
        </is>
      </c>
      <c r="F17" s="2" t="n">
        <v>1</v>
      </c>
      <c r="G17" s="4" t="n">
        <v>2980</v>
      </c>
      <c r="H17" s="2" t="inlineStr">
        <is>
          <t>Pendiente</t>
        </is>
      </c>
      <c r="I17" s="2" t="inlineStr">
        <is>
          <t>revisar</t>
        </is>
      </c>
    </row>
    <row r="18">
      <c r="A18" s="2" t="inlineStr">
        <is>
          <t>VT-017</t>
        </is>
      </c>
      <c r="B18" s="3" t="inlineStr">
        <is>
          <t>14/01/2025</t>
        </is>
      </c>
      <c r="C18" s="2" t="inlineStr">
        <is>
          <t>Marta Lopez</t>
        </is>
      </c>
      <c r="D18" s="2" t="inlineStr">
        <is>
          <t>Tijuana</t>
        </is>
      </c>
      <c r="E18" s="2" t="inlineStr">
        <is>
          <t>Impresora</t>
        </is>
      </c>
      <c r="F18" s="2" t="n">
        <v>1</v>
      </c>
      <c r="G18" s="4" t="n">
        <v>1250</v>
      </c>
      <c r="H18" s="2" t="inlineStr">
        <is>
          <t>Completado</t>
        </is>
      </c>
      <c r="I18" s="2" t="inlineStr">
        <is>
          <t>ok</t>
        </is>
      </c>
    </row>
    <row r="19">
      <c r="A19" s="2" t="inlineStr">
        <is>
          <t>VT-018</t>
        </is>
      </c>
      <c r="B19" s="3" t="inlineStr">
        <is>
          <t>2025-01-18</t>
        </is>
      </c>
      <c r="C19" s="2" t="inlineStr">
        <is>
          <t>Carlos</t>
        </is>
      </c>
      <c r="D19" s="2" t="inlineStr">
        <is>
          <t>Monterrey</t>
        </is>
      </c>
      <c r="E19" s="2" t="inlineStr">
        <is>
          <t>Teclado</t>
        </is>
      </c>
      <c r="F19" s="2" t="n">
        <v>5</v>
      </c>
      <c r="G19" s="4" t="n">
        <v>1780</v>
      </c>
      <c r="H19" s="2" t="inlineStr">
        <is>
          <t>Pendiente</t>
        </is>
      </c>
      <c r="I19" s="2" t="inlineStr">
        <is>
          <t>nuevo cliente</t>
        </is>
      </c>
    </row>
    <row r="20">
      <c r="A20" s="2" t="inlineStr">
        <is>
          <t>VT-019</t>
        </is>
      </c>
      <c r="B20" s="3" t="inlineStr">
        <is>
          <t>22/02/2025</t>
        </is>
      </c>
      <c r="C20" s="2" t="inlineStr">
        <is>
          <t>Juan Perez</t>
        </is>
      </c>
      <c r="D20" s="2" t="inlineStr">
        <is>
          <t>Guadalajara</t>
        </is>
      </c>
      <c r="E20" s="2" t="inlineStr">
        <is>
          <t>Monitor 27</t>
        </is>
      </c>
      <c r="F20" s="2" t="n">
        <v>1</v>
      </c>
      <c r="G20" s="4" t="n">
        <v>2340</v>
      </c>
      <c r="H20" s="2" t="inlineStr">
        <is>
          <t>Completado</t>
        </is>
      </c>
      <c r="I20" s="2" t="inlineStr">
        <is>
          <t>ok</t>
        </is>
      </c>
    </row>
    <row r="21">
      <c r="A21" s="2" t="inlineStr">
        <is>
          <t>VT-020</t>
        </is>
      </c>
      <c r="B21" s="3" t="inlineStr">
        <is>
          <t>2025-02-25</t>
        </is>
      </c>
      <c r="C21" s="2" t="inlineStr">
        <is>
          <t>Ana Maria</t>
        </is>
      </c>
      <c r="D21" s="2" t="inlineStr">
        <is>
          <t>Guadalajara</t>
        </is>
      </c>
      <c r="E21" s="2" t="inlineStr">
        <is>
          <t>Laptop Lenovo</t>
        </is>
      </c>
      <c r="F21" s="2" t="n">
        <v>2</v>
      </c>
      <c r="G21" s="4" t="n">
        <v>5000</v>
      </c>
      <c r="H21" s="2" t="inlineStr">
        <is>
          <t>Pendiente</t>
        </is>
      </c>
      <c r="I21" s="2" t="inlineStr">
        <is>
          <t>seguimiento</t>
        </is>
      </c>
    </row>
    <row r="22">
      <c r="A22" s="2" t="inlineStr">
        <is>
          <t>VT-021</t>
        </is>
      </c>
      <c r="B22" s="3" t="inlineStr">
        <is>
          <t>07/03/2025</t>
        </is>
      </c>
      <c r="C22" s="2" t="inlineStr">
        <is>
          <t>Pablo</t>
        </is>
      </c>
      <c r="D22" s="2" t="inlineStr">
        <is>
          <t>Mexicali</t>
        </is>
      </c>
      <c r="E22" s="2" t="inlineStr">
        <is>
          <t>Mouse</t>
        </is>
      </c>
      <c r="F22" s="2" t="n">
        <v>6</v>
      </c>
      <c r="G22" s="4" t="n">
        <v>760</v>
      </c>
      <c r="H22" s="2" t="inlineStr">
        <is>
          <t>Completado</t>
        </is>
      </c>
      <c r="I22" s="2" t="inlineStr">
        <is>
          <t>ok</t>
        </is>
      </c>
    </row>
    <row r="23">
      <c r="A23" s="2" t="inlineStr">
        <is>
          <t>VT-022</t>
        </is>
      </c>
      <c r="B23" s="3" t="inlineStr">
        <is>
          <t>2025-03-27</t>
        </is>
      </c>
      <c r="C23" s="2" t="inlineStr">
        <is>
          <t>Marta Lopez</t>
        </is>
      </c>
      <c r="D23" s="2" t="inlineStr">
        <is>
          <t>Tijuana</t>
        </is>
      </c>
      <c r="E23" s="2" t="inlineStr">
        <is>
          <t>Laptop Dell</t>
        </is>
      </c>
      <c r="F23" s="2" t="n">
        <v>1</v>
      </c>
      <c r="G23" s="4" t="n">
        <v>3100</v>
      </c>
      <c r="H23" s="2" t="inlineStr">
        <is>
          <t>Pendiente</t>
        </is>
      </c>
      <c r="I23" s="2" t="inlineStr">
        <is>
          <t>cliente vip</t>
        </is>
      </c>
    </row>
    <row r="24">
      <c r="A24" s="2" t="inlineStr">
        <is>
          <t>VT-023</t>
        </is>
      </c>
      <c r="B24" s="3" t="inlineStr">
        <is>
          <t>03/15/2025</t>
        </is>
      </c>
      <c r="C24" s="2" t="inlineStr">
        <is>
          <t>Javier</t>
        </is>
      </c>
      <c r="D24" s="2" t="inlineStr">
        <is>
          <t>Guadalajara</t>
        </is>
      </c>
      <c r="E24" s="2" t="inlineStr">
        <is>
          <t>Monitor 24</t>
        </is>
      </c>
      <c r="F24" s="2" t="n">
        <v>4</v>
      </c>
      <c r="G24" s="4" t="n">
        <v>2500</v>
      </c>
      <c r="H24" s="2" t="inlineStr">
        <is>
          <t>Completado</t>
        </is>
      </c>
      <c r="I24" s="2" t="inlineStr">
        <is>
          <t>ok</t>
        </is>
      </c>
    </row>
    <row r="25">
      <c r="A25" s="2" t="inlineStr">
        <is>
          <t>VT-024</t>
        </is>
      </c>
      <c r="B25" s="3" t="inlineStr">
        <is>
          <t>2025-04-11</t>
        </is>
      </c>
      <c r="C25" s="2" t="inlineStr">
        <is>
          <t>Carlos</t>
        </is>
      </c>
      <c r="D25" s="2" t="inlineStr">
        <is>
          <t>Monterrey</t>
        </is>
      </c>
      <c r="E25" s="2" t="inlineStr">
        <is>
          <t>Silla Ergonómica</t>
        </is>
      </c>
      <c r="F25" s="2" t="n">
        <v>3</v>
      </c>
      <c r="G25" s="4" t="n">
        <v>1420</v>
      </c>
      <c r="H25" s="2" t="inlineStr">
        <is>
          <t>Pendiente</t>
        </is>
      </c>
      <c r="I25" s="2" t="inlineStr">
        <is>
          <t>revisión</t>
        </is>
      </c>
    </row>
    <row r="26">
      <c r="A26" s="2" t="inlineStr">
        <is>
          <t>VT-025</t>
        </is>
      </c>
      <c r="B26" s="3" t="inlineStr">
        <is>
          <t>2025-04-20</t>
        </is>
      </c>
      <c r="C26" s="2" t="inlineStr">
        <is>
          <t>Juan Perez</t>
        </is>
      </c>
      <c r="D26" s="2" t="inlineStr">
        <is>
          <t>Guadalajara</t>
        </is>
      </c>
      <c r="E26" s="2" t="inlineStr">
        <is>
          <t>Laptop Hp</t>
        </is>
      </c>
      <c r="F26" s="2" t="n">
        <v>2</v>
      </c>
      <c r="G26" s="4" t="n">
        <v>5900</v>
      </c>
      <c r="H26" s="2" t="inlineStr">
        <is>
          <t>Completado</t>
        </is>
      </c>
      <c r="I26" s="2" t="inlineStr">
        <is>
          <t>ok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5" t="inlineStr">
        <is>
          <t>Métricas del reto</t>
        </is>
      </c>
    </row>
    <row r="2">
      <c r="A2" s="6" t="inlineStr">
        <is>
          <t>Ventas totales</t>
        </is>
      </c>
      <c r="B2" s="7">
        <f>SUM(Datos_Limpios!G2:G26)</f>
        <v/>
      </c>
    </row>
    <row r="3">
      <c r="A3" s="6" t="inlineStr">
        <is>
          <t>Promedio de venta</t>
        </is>
      </c>
      <c r="B3" s="7">
        <f>AVERAGE(Datos_Limpios!G2:G26)</f>
        <v/>
      </c>
    </row>
    <row r="4">
      <c r="A4" s="6" t="inlineStr">
        <is>
          <t>Cantidad de registros</t>
        </is>
      </c>
      <c r="B4" s="7">
        <f>COUNTA(Datos_Limpios!A2:A26)</f>
        <v/>
      </c>
    </row>
    <row r="5">
      <c r="A5" s="6" t="inlineStr">
        <is>
          <t>Pendientes</t>
        </is>
      </c>
      <c r="B5" s="7">
        <f>COUNTIF(Datos_Limpios!H2:H26,"Pendiente")</f>
        <v/>
      </c>
    </row>
    <row r="6">
      <c r="A6" s="6" t="inlineStr">
        <is>
          <t>Mayor venta</t>
        </is>
      </c>
      <c r="B6" s="7">
        <f>MAX(Datos_Limpios!G2:G26)</f>
        <v/>
      </c>
    </row>
    <row r="7">
      <c r="A7" s="6" t="inlineStr">
        <is>
          <t>Menor venta</t>
        </is>
      </c>
      <c r="B7" s="7">
        <f>MIN(Datos_Limpios!G2:G26)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Indicadores sugeridos</t>
        </is>
      </c>
    </row>
    <row r="3">
      <c r="A3" s="6" t="inlineStr">
        <is>
          <t>Zona con mayor ventas</t>
        </is>
      </c>
      <c r="B3" t="inlineStr">
        <is>
          <t>Revisa la región con mayor suma de montos</t>
        </is>
      </c>
    </row>
    <row r="4">
      <c r="A4" s="6" t="inlineStr">
        <is>
          <t>Total pendientes</t>
        </is>
      </c>
      <c r="B4">
        <f>COUNTIF(Datos_Limpios!H2:H26,"Pendiente")</f>
        <v/>
      </c>
    </row>
    <row r="5">
      <c r="A5" s="6" t="inlineStr">
        <is>
          <t>Venta promedio</t>
        </is>
      </c>
      <c r="B5">
        <f>AVERAGE(Datos_Limpios!G2:G26)</f>
        <v/>
      </c>
    </row>
    <row r="6">
      <c r="A6" s="6" t="inlineStr">
        <is>
          <t>Productos con mayor valor</t>
        </is>
      </c>
      <c r="B6" t="inlineStr">
        <is>
          <t>Usar filtro por monto &gt; 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2026-10-09T04:27:17Z</dcterms:created>
  <dcterms:modified xmlns:dcterms="http://purl.org/dc/terms/" xmlns:xsi="http://www.w3.org/2001/XMLSchema-instance" xsi:type="dcterms:W3CDTF">2026-10-09T04:27:17Z</dcterms:modified>
</cp:coreProperties>
</file>