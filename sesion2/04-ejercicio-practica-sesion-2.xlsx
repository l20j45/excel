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1_Jerarquia" sheetId="2" state="visible" r:id="rId4"/>
    <sheet name="2_Referencias" sheetId="3" state="visible" r:id="rId5"/>
    <sheet name="3_Conteo" sheetId="4" state="visible" r:id="rId6"/>
    <sheet name="4_Condicionales" sheetId="5" state="visible" r:id="rId7"/>
    <sheet name="5_SI_y_SIERROR" sheetId="6" state="visible" r:id="rId8"/>
    <sheet name="6_Que_pasaria_si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<sst xmlns="http://schemas.openxmlformats.org/spreadsheetml/2006/main" count="210" uniqueCount="150">
  <si>
    <t xml:space="preserve">Excel Básico · Clase 2: Ejercicios intermedios (para entender antes del taller)</t>
  </si>
  <si>
    <t xml:space="preserve">Método en 4 pasos para cada ejercicio:  1) PREDICE el resultado   2) ESCRIBE la fórmula   3) COMPRUEBA con la columna verde (✔ / ✘)   4) CAMBIA un dato o parámetro y observa qué se actualiza.</t>
  </si>
  <si>
    <t xml:space="preserve">Celdas amarillas = las que debes llenar. Celdas grises = resultado esperado (para comprobar). Texto azul = parámetros que se citan en las fórmulas, no se escriben dentro de ellas.</t>
  </si>
  <si>
    <t xml:space="preserve">Hoja 1 · Jerarquía de operadores (paréntesis)</t>
  </si>
  <si>
    <t xml:space="preserve">Hoja 2 · Referencias mixtas ($ y F4) en una tabla de dos entradas</t>
  </si>
  <si>
    <t xml:space="preserve">Hoja 3 · SUMA, PROMEDIO, CONTAR, CONTARA y CONTAR.BLANCO con datos incompletos</t>
  </si>
  <si>
    <t xml:space="preserve">Hoja 4 · CONTAR.SI y SUMAR.SI con un criterio</t>
  </si>
  <si>
    <t xml:space="preserve">Hoja 5 · SI y SI.ERROR (reto: comisiones y conversión)</t>
  </si>
  <si>
    <t xml:space="preserve">Hoja 6 · ¿Qué pasaría si...? (cambiar un parámetro y ver el efecto)</t>
  </si>
  <si>
    <t xml:space="preserve">Datos ficticios con fines de capacitación.</t>
  </si>
  <si>
    <t xml:space="preserve">1 · Jerarquía de operadores</t>
  </si>
  <si>
    <t xml:space="preserve">Total con IVA = (Precio + Envío) × (1 − Descuento) × (1 + IVA). Cita el IVA desde J2.</t>
  </si>
  <si>
    <t xml:space="preserve">Producto</t>
  </si>
  <si>
    <t xml:space="preserve">Precio</t>
  </si>
  <si>
    <t xml:space="preserve">Envío</t>
  </si>
  <si>
    <t xml:space="preserve">Descuento</t>
  </si>
  <si>
    <t xml:space="preserve">Total con IVA</t>
  </si>
  <si>
    <t xml:space="preserve">Esperado</t>
  </si>
  <si>
    <t xml:space="preserve">¿Coincide?</t>
  </si>
  <si>
    <t xml:space="preserve">IVA</t>
  </si>
  <si>
    <t xml:space="preserve">Laptop</t>
  </si>
  <si>
    <t xml:space="preserve">Tasa</t>
  </si>
  <si>
    <t xml:space="preserve">Monitor</t>
  </si>
  <si>
    <t xml:space="preserve">Teclado</t>
  </si>
  <si>
    <t xml:space="preserve">Silla</t>
  </si>
  <si>
    <t xml:space="preserve">Escritorio</t>
  </si>
  <si>
    <t xml:space="preserve">Impresora</t>
  </si>
  <si>
    <t xml:space="preserve">Predicción: ¿qué pasa si quitas los paréntesis de (B5+C5)? Escríbelo aquí:</t>
  </si>
  <si>
    <t xml:space="preserve">2 · Referencias mixtas</t>
  </si>
  <si>
    <t xml:space="preserve">Precio de venta = Costo × (1 + Margen). Escribe UNA sola fórmula en B4 y arrástrala a toda la tabla (usa F4: $A4 y B$3).</t>
  </si>
  <si>
    <t xml:space="preserve">Costo \ Margen</t>
  </si>
  <si>
    <t xml:space="preserve">Control: suma de la tabla</t>
  </si>
  <si>
    <t xml:space="preserve">Reto: ¿qué pasa si escribes =A4*(1+B3) y la arrastras? Explícalo:</t>
  </si>
  <si>
    <t xml:space="preserve">3 · SUMA, PROMEDIO y conteos</t>
  </si>
  <si>
    <t xml:space="preserve">Los datos están incompletos a propósito. Predice antes de escribir: ¿cuántos datos cuenta cada función?</t>
  </si>
  <si>
    <t xml:space="preserve">Sucursal</t>
  </si>
  <si>
    <t xml:space="preserve">Ventas</t>
  </si>
  <si>
    <t xml:space="preserve">Responsable</t>
  </si>
  <si>
    <t xml:space="preserve">Pregunta</t>
  </si>
  <si>
    <t xml:space="preserve">Tu fórmula</t>
  </si>
  <si>
    <t xml:space="preserve">Sucursal 1</t>
  </si>
  <si>
    <t xml:space="preserve">Ana</t>
  </si>
  <si>
    <t xml:space="preserve">Total de ventas</t>
  </si>
  <si>
    <t xml:space="preserve">Sucursal 2</t>
  </si>
  <si>
    <t xml:space="preserve">Luis</t>
  </si>
  <si>
    <t xml:space="preserve">Promedio de ventas</t>
  </si>
  <si>
    <t xml:space="preserve">Sucursal 3</t>
  </si>
  <si>
    <t xml:space="preserve">CONTAR ventas (solo números)</t>
  </si>
  <si>
    <t xml:space="preserve">Sucursal 4</t>
  </si>
  <si>
    <t xml:space="preserve">Marta</t>
  </si>
  <si>
    <t xml:space="preserve">CONTARA ventas (no vacías)</t>
  </si>
  <si>
    <t xml:space="preserve">Sucursal 5</t>
  </si>
  <si>
    <t xml:space="preserve">N/D</t>
  </si>
  <si>
    <t xml:space="preserve">Pablo</t>
  </si>
  <si>
    <t xml:space="preserve">CONTAR.BLANCO ventas</t>
  </si>
  <si>
    <t xml:space="preserve">Sucursal 6</t>
  </si>
  <si>
    <t xml:space="preserve">CONTAR.BLANCO responsables</t>
  </si>
  <si>
    <t xml:space="preserve">Sucursal 7</t>
  </si>
  <si>
    <t xml:space="preserve">Rosa</t>
  </si>
  <si>
    <t xml:space="preserve">Sucursal 8</t>
  </si>
  <si>
    <t xml:space="preserve">Iván</t>
  </si>
  <si>
    <t xml:space="preserve">¿Por qué CONTAR y CONTARA dan distinto en Ventas?</t>
  </si>
  <si>
    <t xml:space="preserve">Sucursal 9</t>
  </si>
  <si>
    <t xml:space="preserve">Elena</t>
  </si>
  <si>
    <t xml:space="preserve">Sucursal 10</t>
  </si>
  <si>
    <t xml:space="preserve">Sucursal 11</t>
  </si>
  <si>
    <t xml:space="preserve">Mario</t>
  </si>
  <si>
    <t xml:space="preserve">Sucursal 12</t>
  </si>
  <si>
    <t xml:space="preserve">Sara</t>
  </si>
  <si>
    <t xml:space="preserve">4 · CONTAR.SI y SUMAR.SI</t>
  </si>
  <si>
    <t xml:space="preserve">Responde con una fórmula cada pregunta. Nada de contar a mano.</t>
  </si>
  <si>
    <t xml:space="preserve">ID_Pedido</t>
  </si>
  <si>
    <t xml:space="preserve">Cliente</t>
  </si>
  <si>
    <t xml:space="preserve">Estatus</t>
  </si>
  <si>
    <t xml:space="preserve">Monto</t>
  </si>
  <si>
    <t xml:space="preserve">Región</t>
  </si>
  <si>
    <t xml:space="preserve">PED-305</t>
  </si>
  <si>
    <t xml:space="preserve">Cliente 1</t>
  </si>
  <si>
    <t xml:space="preserve">Entregado</t>
  </si>
  <si>
    <t xml:space="preserve">Norte</t>
  </si>
  <si>
    <t xml:space="preserve">Pedidos Entregados</t>
  </si>
  <si>
    <t xml:space="preserve">PED-306</t>
  </si>
  <si>
    <t xml:space="preserve">Cliente 2</t>
  </si>
  <si>
    <t xml:space="preserve">Pendiente</t>
  </si>
  <si>
    <t xml:space="preserve">Centro</t>
  </si>
  <si>
    <t xml:space="preserve">Pedidos Pendientes</t>
  </si>
  <si>
    <t xml:space="preserve">PED-307</t>
  </si>
  <si>
    <t xml:space="preserve">Cliente 3</t>
  </si>
  <si>
    <t xml:space="preserve">Sur</t>
  </si>
  <si>
    <t xml:space="preserve">Pedidos Cancelados</t>
  </si>
  <si>
    <t xml:space="preserve">PED-308</t>
  </si>
  <si>
    <t xml:space="preserve">Cliente 4</t>
  </si>
  <si>
    <t xml:space="preserve">Cancelado</t>
  </si>
  <si>
    <t xml:space="preserve">Monto región Norte</t>
  </si>
  <si>
    <t xml:space="preserve">PED-309</t>
  </si>
  <si>
    <t xml:space="preserve">Cliente 5</t>
  </si>
  <si>
    <t xml:space="preserve">Monto región Centro</t>
  </si>
  <si>
    <t xml:space="preserve">PED-310</t>
  </si>
  <si>
    <t xml:space="preserve">Cliente 6</t>
  </si>
  <si>
    <t xml:space="preserve">Monto región Sur</t>
  </si>
  <si>
    <t xml:space="preserve">PED-311</t>
  </si>
  <si>
    <t xml:space="preserve">Cliente 7</t>
  </si>
  <si>
    <t xml:space="preserve">Pedidos mayores a $1,000</t>
  </si>
  <si>
    <t xml:space="preserve">PED-312</t>
  </si>
  <si>
    <t xml:space="preserve">Cliente 8</t>
  </si>
  <si>
    <t xml:space="preserve">PED-313</t>
  </si>
  <si>
    <t xml:space="preserve">Cliente 9</t>
  </si>
  <si>
    <t xml:space="preserve">Comprobación: las 3 regiones deben sumar el total (=SUMA de Monto).</t>
  </si>
  <si>
    <t xml:space="preserve">PED-314</t>
  </si>
  <si>
    <t xml:space="preserve">Cliente 10</t>
  </si>
  <si>
    <t xml:space="preserve">PED-315</t>
  </si>
  <si>
    <t xml:space="preserve">Cliente 11</t>
  </si>
  <si>
    <t xml:space="preserve">PED-316</t>
  </si>
  <si>
    <t xml:space="preserve">Cliente 12</t>
  </si>
  <si>
    <t xml:space="preserve">PED-317</t>
  </si>
  <si>
    <t xml:space="preserve">Cliente 13</t>
  </si>
  <si>
    <t xml:space="preserve">PED-318</t>
  </si>
  <si>
    <t xml:space="preserve">Cliente 14</t>
  </si>
  <si>
    <t xml:space="preserve">PED-319</t>
  </si>
  <si>
    <t xml:space="preserve">Cliente 15</t>
  </si>
  <si>
    <t xml:space="preserve">5 · SI y SI.ERROR (reto)</t>
  </si>
  <si>
    <t xml:space="preserve">Resultado: "Cumplió" si Venta ≥ Meta, si no "No cumplió". Bono: Venta × tasa (P5) si cumplió, si no 0. Conversión = Cierres / Visitas; si falla, "Sin visitas".</t>
  </si>
  <si>
    <t xml:space="preserve">Vendedor</t>
  </si>
  <si>
    <t xml:space="preserve">Venta</t>
  </si>
  <si>
    <t xml:space="preserve">Meta</t>
  </si>
  <si>
    <t xml:space="preserve">Visitas</t>
  </si>
  <si>
    <t xml:space="preserve">Cierres</t>
  </si>
  <si>
    <t xml:space="preserve">Resultado</t>
  </si>
  <si>
    <t xml:space="preserve">Bono</t>
  </si>
  <si>
    <t xml:space="preserve">Conversión</t>
  </si>
  <si>
    <t xml:space="preserve">Esp. Resultado</t>
  </si>
  <si>
    <t xml:space="preserve">Esp. Bono</t>
  </si>
  <si>
    <t xml:space="preserve">Esp. Conversión</t>
  </si>
  <si>
    <t xml:space="preserve">Parámetro</t>
  </si>
  <si>
    <t xml:space="preserve">Valor</t>
  </si>
  <si>
    <t xml:space="preserve">Cumplió</t>
  </si>
  <si>
    <t xml:space="preserve">Tasa de bono</t>
  </si>
  <si>
    <t xml:space="preserve">No cumplió</t>
  </si>
  <si>
    <t xml:space="preserve">Sin visitas</t>
  </si>
  <si>
    <t xml:space="preserve">6 · ¿Qué pasaría si...?</t>
  </si>
  <si>
    <t xml:space="preserve">Las fórmulas ya están hechas. Tu trabajo: cambiar UN parámetro, observar el Total general y contestar.</t>
  </si>
  <si>
    <t xml:space="preserve">Unidades</t>
  </si>
  <si>
    <t xml:space="preserve">Subtotal</t>
  </si>
  <si>
    <t xml:space="preserve">Con descuento</t>
  </si>
  <si>
    <t xml:space="preserve">Total general</t>
  </si>
  <si>
    <t xml:space="preserve">Tu respuesta</t>
  </si>
  <si>
    <t xml:space="preserve">1) Cambia el IVA a 8%. ¿Cuánto vale el Total general?</t>
  </si>
  <si>
    <t xml:space="preserve">2) Regresa el IVA a 16% y pon el Descuento en 0%. ¿Total general?</t>
  </si>
  <si>
    <t xml:space="preserve">3) ¿Cuántas celdas tuviste que modificar en cada caso?</t>
  </si>
  <si>
    <t xml:space="preserve">4) ¿Qué habría pasado si las fórmulas tuvieran escrito 0.16 en lugar de $B$4? Explícalo: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</si>
</sst>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%"/>
    <numFmt numFmtId="167" formatCode="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7C2"/>
        <bgColor rgb="FFFFFF99"/>
      </patternFill>
    </fill>
    <fill>
      <patternFill patternType="solid">
        <fgColor rgb="FFE8EDF3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2"/>
      <rgbColor rgb="FFE8EDF3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23.8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3</v>
      </c>
    </row>
    <row r="8" customFormat="false" ht="15" hidden="false" customHeight="false" outlineLevel="0" collapsed="false">
      <c r="A8" s="2" t="s">
        <v>4</v>
      </c>
    </row>
    <row r="9" customFormat="false" ht="15" hidden="false" customHeight="false" outlineLevel="0" collapsed="false">
      <c r="A9" s="2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3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3" t="s">
        <v>10</v>
      </c>
    </row>
    <row r="2" customFormat="false" ht="15" hidden="false" customHeight="false" outlineLevel="0" collapsed="false">
      <c r="A2" s="4" t="s">
        <v>11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I4" s="6" t="s">
        <v>19</v>
      </c>
    </row>
    <row r="5" customFormat="false" ht="15" hidden="false" customHeight="false" outlineLevel="0" collapsed="false">
      <c r="A5" s="7" t="s">
        <v>20</v>
      </c>
      <c r="B5" s="8" t="n">
        <v>12000</v>
      </c>
      <c r="C5" s="8" t="n">
        <v>350</v>
      </c>
      <c r="D5" s="9" t="n">
        <v>0.1</v>
      </c>
      <c r="E5" s="10"/>
      <c r="F5" s="11" t="n">
        <v>12893.4</v>
      </c>
      <c r="G5" s="7" t="str">
        <f aca="false">IF(ROUND(E5,2)=F5,"✔ Correcto","✘ Revisa")</f>
        <v>✘ Revisa</v>
      </c>
      <c r="I5" s="7" t="s">
        <v>21</v>
      </c>
      <c r="J5" s="12" t="n">
        <v>0.16</v>
      </c>
    </row>
    <row r="6" customFormat="false" ht="15" hidden="false" customHeight="false" outlineLevel="0" collapsed="false">
      <c r="A6" s="7" t="s">
        <v>22</v>
      </c>
      <c r="B6" s="8" t="n">
        <v>3500</v>
      </c>
      <c r="C6" s="8" t="n">
        <v>150</v>
      </c>
      <c r="D6" s="9" t="n">
        <v>0.05</v>
      </c>
      <c r="E6" s="10"/>
      <c r="F6" s="11" t="n">
        <v>4022.3</v>
      </c>
      <c r="G6" s="7" t="str">
        <f aca="false">IF(ROUND(E6,2)=F6,"✔ Correcto","✘ Revisa")</f>
        <v>✘ Revisa</v>
      </c>
    </row>
    <row r="7" customFormat="false" ht="15" hidden="false" customHeight="false" outlineLevel="0" collapsed="false">
      <c r="A7" s="7" t="s">
        <v>23</v>
      </c>
      <c r="B7" s="8" t="n">
        <v>800</v>
      </c>
      <c r="C7" s="8" t="n">
        <v>60</v>
      </c>
      <c r="D7" s="9" t="n">
        <v>0</v>
      </c>
      <c r="E7" s="10"/>
      <c r="F7" s="11" t="n">
        <v>997.6</v>
      </c>
      <c r="G7" s="7" t="str">
        <f aca="false">IF(ROUND(E7,2)=F7,"✔ Correcto","✘ Revisa")</f>
        <v>✘ Revisa</v>
      </c>
    </row>
    <row r="8" customFormat="false" ht="15" hidden="false" customHeight="false" outlineLevel="0" collapsed="false">
      <c r="A8" s="7" t="s">
        <v>24</v>
      </c>
      <c r="B8" s="8" t="n">
        <v>2900</v>
      </c>
      <c r="C8" s="8" t="n">
        <v>400</v>
      </c>
      <c r="D8" s="9" t="n">
        <v>0.15</v>
      </c>
      <c r="E8" s="10"/>
      <c r="F8" s="11" t="n">
        <v>3253.8</v>
      </c>
      <c r="G8" s="7" t="str">
        <f aca="false">IF(ROUND(E8,2)=F8,"✔ Correcto","✘ Revisa")</f>
        <v>✘ Revisa</v>
      </c>
    </row>
    <row r="9" customFormat="false" ht="15" hidden="false" customHeight="false" outlineLevel="0" collapsed="false">
      <c r="A9" s="7" t="s">
        <v>25</v>
      </c>
      <c r="B9" s="8" t="n">
        <v>4200</v>
      </c>
      <c r="C9" s="8" t="n">
        <v>500</v>
      </c>
      <c r="D9" s="9" t="n">
        <v>0.08</v>
      </c>
      <c r="E9" s="10"/>
      <c r="F9" s="11" t="n">
        <v>5015.84</v>
      </c>
      <c r="G9" s="7" t="str">
        <f aca="false">IF(ROUND(E9,2)=F9,"✔ Correcto","✘ Revisa")</f>
        <v>✘ Revisa</v>
      </c>
    </row>
    <row r="10" customFormat="false" ht="15" hidden="false" customHeight="false" outlineLevel="0" collapsed="false">
      <c r="A10" s="7" t="s">
        <v>26</v>
      </c>
      <c r="B10" s="8" t="n">
        <v>2600</v>
      </c>
      <c r="C10" s="8" t="n">
        <v>120</v>
      </c>
      <c r="D10" s="9" t="n">
        <v>0.12</v>
      </c>
      <c r="E10" s="10"/>
      <c r="F10" s="11" t="n">
        <v>2776.58</v>
      </c>
      <c r="G10" s="7" t="str">
        <f aca="false">IF(ROUND(E10,2)=F10,"✔ Correcto","✘ Revisa")</f>
        <v>✘ Revisa</v>
      </c>
    </row>
    <row r="13" customFormat="false" ht="15" hidden="false" customHeight="false" outlineLevel="0" collapsed="false">
      <c r="A13" s="13" t="s">
        <v>27</v>
      </c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</row>
  </sheetData>
  <mergeCells count="1"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3" t="s">
        <v>28</v>
      </c>
    </row>
    <row r="2" customFormat="false" ht="15" hidden="false" customHeight="false" outlineLevel="0" collapsed="false">
      <c r="A2" s="4" t="s">
        <v>29</v>
      </c>
    </row>
    <row r="3" customFormat="false" ht="15" hidden="false" customHeight="false" outlineLevel="0" collapsed="false">
      <c r="A3" s="15" t="s">
        <v>30</v>
      </c>
      <c r="B3" s="16" t="n">
        <v>0.1</v>
      </c>
      <c r="C3" s="16" t="n">
        <v>0.15</v>
      </c>
      <c r="D3" s="16" t="n">
        <v>0.2</v>
      </c>
      <c r="E3" s="16" t="n">
        <v>0.25</v>
      </c>
    </row>
    <row r="4" customFormat="false" ht="15" hidden="false" customHeight="false" outlineLevel="0" collapsed="false">
      <c r="A4" s="17" t="n">
        <v>100</v>
      </c>
      <c r="B4" s="10"/>
      <c r="C4" s="10"/>
      <c r="D4" s="10"/>
      <c r="E4" s="10"/>
    </row>
    <row r="5" customFormat="false" ht="15" hidden="false" customHeight="false" outlineLevel="0" collapsed="false">
      <c r="A5" s="17" t="n">
        <v>250</v>
      </c>
      <c r="B5" s="10"/>
      <c r="C5" s="10"/>
      <c r="D5" s="10"/>
      <c r="E5" s="10"/>
    </row>
    <row r="6" customFormat="false" ht="15" hidden="false" customHeight="false" outlineLevel="0" collapsed="false">
      <c r="A6" s="17" t="n">
        <v>480</v>
      </c>
      <c r="B6" s="10"/>
      <c r="C6" s="10"/>
      <c r="D6" s="10"/>
      <c r="E6" s="10"/>
    </row>
    <row r="7" customFormat="false" ht="15" hidden="false" customHeight="false" outlineLevel="0" collapsed="false">
      <c r="A7" s="17" t="n">
        <v>900</v>
      </c>
      <c r="B7" s="10"/>
      <c r="C7" s="10"/>
      <c r="D7" s="10"/>
      <c r="E7" s="10"/>
    </row>
    <row r="8" customFormat="false" ht="15" hidden="false" customHeight="false" outlineLevel="0" collapsed="false">
      <c r="A8" s="17" t="n">
        <v>1500</v>
      </c>
      <c r="B8" s="10"/>
      <c r="C8" s="10"/>
      <c r="D8" s="10"/>
      <c r="E8" s="10"/>
    </row>
    <row r="10" customFormat="false" ht="15" hidden="false" customHeight="false" outlineLevel="0" collapsed="false">
      <c r="A10" s="13" t="s">
        <v>31</v>
      </c>
      <c r="B10" s="8" t="n">
        <f aca="false">SUM(B4:E8)</f>
        <v>0</v>
      </c>
    </row>
    <row r="11" customFormat="false" ht="15" hidden="false" customHeight="false" outlineLevel="0" collapsed="false">
      <c r="A11" s="13" t="s">
        <v>17</v>
      </c>
      <c r="B11" s="11" t="n">
        <v>15181</v>
      </c>
    </row>
    <row r="12" customFormat="false" ht="15" hidden="false" customHeight="false" outlineLevel="0" collapsed="false">
      <c r="A12" s="13" t="s">
        <v>18</v>
      </c>
      <c r="B12" s="7" t="str">
        <f aca="false">IF(ROUND(B10,2)=B11,"✔ Correcto","✘ Revisa")</f>
        <v>✘ Revisa</v>
      </c>
    </row>
    <row r="14" customFormat="false" ht="15" hidden="false" customHeight="false" outlineLevel="0" collapsed="false">
      <c r="A14" s="13" t="s">
        <v>32</v>
      </c>
    </row>
    <row r="15" customFormat="false" ht="15" hidden="false" customHeight="false" outlineLevel="0" collapsed="false">
      <c r="A15" s="14"/>
      <c r="B15" s="14"/>
      <c r="C15" s="14"/>
      <c r="D15" s="14"/>
      <c r="E15" s="14"/>
    </row>
  </sheetData>
  <mergeCells count="1"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3" t="s">
        <v>33</v>
      </c>
    </row>
    <row r="2" customFormat="false" ht="15" hidden="false" customHeight="false" outlineLevel="0" collapsed="false">
      <c r="A2" s="4" t="s">
        <v>34</v>
      </c>
    </row>
    <row r="4" customFormat="false" ht="15" hidden="false" customHeight="false" outlineLevel="0" collapsed="false">
      <c r="A4" s="5" t="s">
        <v>35</v>
      </c>
      <c r="B4" s="5" t="s">
        <v>36</v>
      </c>
      <c r="C4" s="5" t="s">
        <v>37</v>
      </c>
      <c r="E4" s="5" t="s">
        <v>38</v>
      </c>
      <c r="F4" s="5" t="s">
        <v>39</v>
      </c>
      <c r="G4" s="5" t="s">
        <v>17</v>
      </c>
      <c r="H4" s="5" t="s">
        <v>18</v>
      </c>
    </row>
    <row r="5" customFormat="false" ht="15" hidden="false" customHeight="false" outlineLevel="0" collapsed="false">
      <c r="A5" s="7" t="s">
        <v>40</v>
      </c>
      <c r="B5" s="8" t="n">
        <v>15200</v>
      </c>
      <c r="C5" s="7" t="s">
        <v>41</v>
      </c>
      <c r="E5" s="7" t="s">
        <v>42</v>
      </c>
      <c r="F5" s="10"/>
      <c r="G5" s="11" t="n">
        <v>103500</v>
      </c>
      <c r="H5" s="7" t="str">
        <f aca="false">IF(ROUND(F5,2)=G5,"✔ Correcto","✘ Revisa")</f>
        <v>✘ Revisa</v>
      </c>
    </row>
    <row r="6" customFormat="false" ht="15" hidden="false" customHeight="false" outlineLevel="0" collapsed="false">
      <c r="A6" s="7" t="s">
        <v>43</v>
      </c>
      <c r="B6" s="8" t="n">
        <v>9800</v>
      </c>
      <c r="C6" s="7" t="s">
        <v>44</v>
      </c>
      <c r="E6" s="7" t="s">
        <v>45</v>
      </c>
      <c r="F6" s="10"/>
      <c r="G6" s="11" t="n">
        <v>11500</v>
      </c>
      <c r="H6" s="7" t="str">
        <f aca="false">IF(ROUND(F6,2)=G6,"✔ Correcto","✘ Revisa")</f>
        <v>✘ Revisa</v>
      </c>
    </row>
    <row r="7" customFormat="false" ht="15" hidden="false" customHeight="false" outlineLevel="0" collapsed="false">
      <c r="A7" s="7" t="s">
        <v>46</v>
      </c>
      <c r="B7" s="8"/>
      <c r="C7" s="7"/>
      <c r="E7" s="7" t="s">
        <v>47</v>
      </c>
      <c r="F7" s="18"/>
      <c r="G7" s="19" t="n">
        <v>9</v>
      </c>
      <c r="H7" s="7" t="str">
        <f aca="false">IF(ROUND(F7,2)=G7,"✔ Correcto","✘ Revisa")</f>
        <v>✘ Revisa</v>
      </c>
    </row>
    <row r="8" customFormat="false" ht="15" hidden="false" customHeight="false" outlineLevel="0" collapsed="false">
      <c r="A8" s="7" t="s">
        <v>48</v>
      </c>
      <c r="B8" s="8" t="n">
        <v>12400</v>
      </c>
      <c r="C8" s="7" t="s">
        <v>49</v>
      </c>
      <c r="E8" s="7" t="s">
        <v>50</v>
      </c>
      <c r="F8" s="18"/>
      <c r="G8" s="19" t="n">
        <v>10</v>
      </c>
      <c r="H8" s="7" t="str">
        <f aca="false">IF(ROUND(F8,2)=G8,"✔ Correcto","✘ Revisa")</f>
        <v>✘ Revisa</v>
      </c>
    </row>
    <row r="9" customFormat="false" ht="15" hidden="false" customHeight="false" outlineLevel="0" collapsed="false">
      <c r="A9" s="7" t="s">
        <v>51</v>
      </c>
      <c r="B9" s="8" t="s">
        <v>52</v>
      </c>
      <c r="C9" s="7" t="s">
        <v>53</v>
      </c>
      <c r="E9" s="7" t="s">
        <v>54</v>
      </c>
      <c r="F9" s="18"/>
      <c r="G9" s="19" t="n">
        <v>2</v>
      </c>
      <c r="H9" s="7" t="str">
        <f aca="false">IF(ROUND(F9,2)=G9,"✔ Correcto","✘ Revisa")</f>
        <v>✘ Revisa</v>
      </c>
    </row>
    <row r="10" customFormat="false" ht="15" hidden="false" customHeight="false" outlineLevel="0" collapsed="false">
      <c r="A10" s="7" t="s">
        <v>55</v>
      </c>
      <c r="B10" s="8" t="n">
        <v>8700</v>
      </c>
      <c r="C10" s="7"/>
      <c r="E10" s="7" t="s">
        <v>56</v>
      </c>
      <c r="F10" s="18"/>
      <c r="G10" s="19" t="n">
        <v>3</v>
      </c>
      <c r="H10" s="7" t="str">
        <f aca="false">IF(ROUND(F10,2)=G10,"✔ Correcto","✘ Revisa")</f>
        <v>✘ Revisa</v>
      </c>
    </row>
    <row r="11" customFormat="false" ht="15" hidden="false" customHeight="false" outlineLevel="0" collapsed="false">
      <c r="A11" s="7" t="s">
        <v>57</v>
      </c>
      <c r="B11" s="8" t="n">
        <v>11300</v>
      </c>
      <c r="C11" s="7" t="s">
        <v>58</v>
      </c>
    </row>
    <row r="12" customFormat="false" ht="15" hidden="false" customHeight="false" outlineLevel="0" collapsed="false">
      <c r="A12" s="7" t="s">
        <v>59</v>
      </c>
      <c r="B12" s="8"/>
      <c r="C12" s="7" t="s">
        <v>60</v>
      </c>
      <c r="E12" s="13" t="s">
        <v>61</v>
      </c>
    </row>
    <row r="13" customFormat="false" ht="15" hidden="false" customHeight="false" outlineLevel="0" collapsed="false">
      <c r="A13" s="7" t="s">
        <v>62</v>
      </c>
      <c r="B13" s="8" t="n">
        <v>14900</v>
      </c>
      <c r="C13" s="7" t="s">
        <v>63</v>
      </c>
      <c r="E13" s="20"/>
      <c r="F13" s="20"/>
      <c r="G13" s="20"/>
      <c r="H13" s="20"/>
    </row>
    <row r="14" customFormat="false" ht="15" hidden="false" customHeight="false" outlineLevel="0" collapsed="false">
      <c r="A14" s="7" t="s">
        <v>64</v>
      </c>
      <c r="B14" s="8" t="n">
        <v>7600</v>
      </c>
      <c r="C14" s="7"/>
      <c r="E14" s="20"/>
      <c r="F14" s="20"/>
      <c r="G14" s="20"/>
      <c r="H14" s="20"/>
    </row>
    <row r="15" customFormat="false" ht="15" hidden="false" customHeight="false" outlineLevel="0" collapsed="false">
      <c r="A15" s="7" t="s">
        <v>65</v>
      </c>
      <c r="B15" s="8" t="n">
        <v>10500</v>
      </c>
      <c r="C15" s="7" t="s">
        <v>66</v>
      </c>
    </row>
    <row r="16" customFormat="false" ht="15" hidden="false" customHeight="false" outlineLevel="0" collapsed="false">
      <c r="A16" s="7" t="s">
        <v>67</v>
      </c>
      <c r="B16" s="8" t="n">
        <v>13100</v>
      </c>
      <c r="C16" s="7" t="s">
        <v>68</v>
      </c>
    </row>
  </sheetData>
  <mergeCells count="1">
    <mergeCell ref="E13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16.15" hidden="false" customHeight="false" outlineLevel="0" collapsed="false">
      <c r="A1" s="3" t="s">
        <v>69</v>
      </c>
    </row>
    <row r="2" customFormat="false" ht="15" hidden="false" customHeight="false" outlineLevel="0" collapsed="false">
      <c r="A2" s="4" t="s">
        <v>70</v>
      </c>
    </row>
    <row r="4" customFormat="false" ht="15" hidden="false" customHeight="false" outlineLevel="0" collapsed="false">
      <c r="A4" s="5" t="s">
        <v>71</v>
      </c>
      <c r="B4" s="5" t="s">
        <v>72</v>
      </c>
      <c r="C4" s="5" t="s">
        <v>73</v>
      </c>
      <c r="D4" s="5" t="s">
        <v>74</v>
      </c>
      <c r="E4" s="5" t="s">
        <v>75</v>
      </c>
      <c r="G4" s="5" t="s">
        <v>38</v>
      </c>
      <c r="H4" s="5" t="s">
        <v>39</v>
      </c>
      <c r="I4" s="5" t="s">
        <v>17</v>
      </c>
      <c r="J4" s="5" t="s">
        <v>18</v>
      </c>
    </row>
    <row r="5" customFormat="false" ht="15" hidden="false" customHeight="false" outlineLevel="0" collapsed="false">
      <c r="A5" s="7" t="s">
        <v>76</v>
      </c>
      <c r="B5" s="7" t="s">
        <v>77</v>
      </c>
      <c r="C5" s="7" t="s">
        <v>78</v>
      </c>
      <c r="D5" s="8" t="n">
        <v>1450</v>
      </c>
      <c r="E5" s="7" t="s">
        <v>79</v>
      </c>
      <c r="G5" s="7" t="s">
        <v>80</v>
      </c>
      <c r="H5" s="18"/>
      <c r="I5" s="19" t="n">
        <v>7</v>
      </c>
      <c r="J5" s="7" t="str">
        <f aca="false">IF(ROUND(H5,2)=I5,"✔ Correcto","✘ Revisa")</f>
        <v>✘ Revisa</v>
      </c>
    </row>
    <row r="6" customFormat="false" ht="15" hidden="false" customHeight="false" outlineLevel="0" collapsed="false">
      <c r="A6" s="7" t="s">
        <v>81</v>
      </c>
      <c r="B6" s="7" t="s">
        <v>82</v>
      </c>
      <c r="C6" s="7" t="s">
        <v>83</v>
      </c>
      <c r="D6" s="8" t="n">
        <v>980</v>
      </c>
      <c r="E6" s="7" t="s">
        <v>84</v>
      </c>
      <c r="G6" s="7" t="s">
        <v>85</v>
      </c>
      <c r="H6" s="18"/>
      <c r="I6" s="19" t="n">
        <v>5</v>
      </c>
      <c r="J6" s="7" t="str">
        <f aca="false">IF(ROUND(H6,2)=I6,"✔ Correcto","✘ Revisa")</f>
        <v>✘ Revisa</v>
      </c>
    </row>
    <row r="7" customFormat="false" ht="15" hidden="false" customHeight="false" outlineLevel="0" collapsed="false">
      <c r="A7" s="7" t="s">
        <v>86</v>
      </c>
      <c r="B7" s="7" t="s">
        <v>87</v>
      </c>
      <c r="C7" s="7" t="s">
        <v>78</v>
      </c>
      <c r="D7" s="8" t="n">
        <v>2200</v>
      </c>
      <c r="E7" s="7" t="s">
        <v>88</v>
      </c>
      <c r="G7" s="7" t="s">
        <v>89</v>
      </c>
      <c r="H7" s="18"/>
      <c r="I7" s="19" t="n">
        <v>3</v>
      </c>
      <c r="J7" s="7" t="str">
        <f aca="false">IF(ROUND(H7,2)=I7,"✔ Correcto","✘ Revisa")</f>
        <v>✘ Revisa</v>
      </c>
    </row>
    <row r="8" customFormat="false" ht="15" hidden="false" customHeight="false" outlineLevel="0" collapsed="false">
      <c r="A8" s="7" t="s">
        <v>90</v>
      </c>
      <c r="B8" s="7" t="s">
        <v>91</v>
      </c>
      <c r="C8" s="7" t="s">
        <v>92</v>
      </c>
      <c r="D8" s="8" t="n">
        <v>760</v>
      </c>
      <c r="E8" s="7" t="s">
        <v>79</v>
      </c>
      <c r="G8" s="7" t="s">
        <v>93</v>
      </c>
      <c r="H8" s="10"/>
      <c r="I8" s="11" t="n">
        <v>5700</v>
      </c>
      <c r="J8" s="7" t="str">
        <f aca="false">IF(ROUND(H8,2)=I8,"✔ Correcto","✘ Revisa")</f>
        <v>✘ Revisa</v>
      </c>
    </row>
    <row r="9" customFormat="false" ht="15" hidden="false" customHeight="false" outlineLevel="0" collapsed="false">
      <c r="A9" s="7" t="s">
        <v>94</v>
      </c>
      <c r="B9" s="7" t="s">
        <v>95</v>
      </c>
      <c r="C9" s="7" t="s">
        <v>78</v>
      </c>
      <c r="D9" s="8" t="n">
        <v>1100</v>
      </c>
      <c r="E9" s="7" t="s">
        <v>84</v>
      </c>
      <c r="G9" s="7" t="s">
        <v>96</v>
      </c>
      <c r="H9" s="10"/>
      <c r="I9" s="11" t="n">
        <v>5800</v>
      </c>
      <c r="J9" s="7" t="str">
        <f aca="false">IF(ROUND(H9,2)=I9,"✔ Correcto","✘ Revisa")</f>
        <v>✘ Revisa</v>
      </c>
    </row>
    <row r="10" customFormat="false" ht="15" hidden="false" customHeight="false" outlineLevel="0" collapsed="false">
      <c r="A10" s="7" t="s">
        <v>97</v>
      </c>
      <c r="B10" s="7" t="s">
        <v>98</v>
      </c>
      <c r="C10" s="7" t="s">
        <v>83</v>
      </c>
      <c r="D10" s="8" t="n">
        <v>3050</v>
      </c>
      <c r="E10" s="7" t="s">
        <v>88</v>
      </c>
      <c r="G10" s="7" t="s">
        <v>99</v>
      </c>
      <c r="H10" s="10"/>
      <c r="I10" s="11" t="n">
        <v>10620</v>
      </c>
      <c r="J10" s="7" t="str">
        <f aca="false">IF(ROUND(H10,2)=I10,"✔ Correcto","✘ Revisa")</f>
        <v>✘ Revisa</v>
      </c>
    </row>
    <row r="11" customFormat="false" ht="15" hidden="false" customHeight="false" outlineLevel="0" collapsed="false">
      <c r="A11" s="7" t="s">
        <v>100</v>
      </c>
      <c r="B11" s="7" t="s">
        <v>101</v>
      </c>
      <c r="C11" s="7" t="s">
        <v>78</v>
      </c>
      <c r="D11" s="8" t="n">
        <v>640</v>
      </c>
      <c r="E11" s="7" t="s">
        <v>79</v>
      </c>
      <c r="G11" s="7" t="s">
        <v>102</v>
      </c>
      <c r="H11" s="18"/>
      <c r="I11" s="19" t="n">
        <v>9</v>
      </c>
      <c r="J11" s="7" t="str">
        <f aca="false">IF(ROUND(H11,2)=I11,"✔ Correcto","✘ Revisa")</f>
        <v>✘ Revisa</v>
      </c>
    </row>
    <row r="12" customFormat="false" ht="15" hidden="false" customHeight="false" outlineLevel="0" collapsed="false">
      <c r="A12" s="7" t="s">
        <v>103</v>
      </c>
      <c r="B12" s="7" t="s">
        <v>104</v>
      </c>
      <c r="C12" s="7" t="s">
        <v>92</v>
      </c>
      <c r="D12" s="8" t="n">
        <v>1900</v>
      </c>
      <c r="E12" s="7" t="s">
        <v>84</v>
      </c>
    </row>
    <row r="13" customFormat="false" ht="15" hidden="false" customHeight="false" outlineLevel="0" collapsed="false">
      <c r="A13" s="7" t="s">
        <v>105</v>
      </c>
      <c r="B13" s="7" t="s">
        <v>106</v>
      </c>
      <c r="C13" s="7" t="s">
        <v>83</v>
      </c>
      <c r="D13" s="8" t="n">
        <v>1250</v>
      </c>
      <c r="E13" s="7" t="s">
        <v>79</v>
      </c>
      <c r="G13" s="7" t="s">
        <v>107</v>
      </c>
    </row>
    <row r="14" customFormat="false" ht="15" hidden="false" customHeight="false" outlineLevel="0" collapsed="false">
      <c r="A14" s="7" t="s">
        <v>108</v>
      </c>
      <c r="B14" s="7" t="s">
        <v>109</v>
      </c>
      <c r="C14" s="7" t="s">
        <v>78</v>
      </c>
      <c r="D14" s="8" t="n">
        <v>2750</v>
      </c>
      <c r="E14" s="7" t="s">
        <v>88</v>
      </c>
    </row>
    <row r="15" customFormat="false" ht="15" hidden="false" customHeight="false" outlineLevel="0" collapsed="false">
      <c r="A15" s="7" t="s">
        <v>110</v>
      </c>
      <c r="B15" s="7" t="s">
        <v>111</v>
      </c>
      <c r="C15" s="7" t="s">
        <v>83</v>
      </c>
      <c r="D15" s="8" t="n">
        <v>830</v>
      </c>
      <c r="E15" s="7" t="s">
        <v>84</v>
      </c>
    </row>
    <row r="16" customFormat="false" ht="15" hidden="false" customHeight="false" outlineLevel="0" collapsed="false">
      <c r="A16" s="7" t="s">
        <v>112</v>
      </c>
      <c r="B16" s="7" t="s">
        <v>113</v>
      </c>
      <c r="C16" s="7" t="s">
        <v>78</v>
      </c>
      <c r="D16" s="8" t="n">
        <v>1600</v>
      </c>
      <c r="E16" s="7" t="s">
        <v>79</v>
      </c>
    </row>
    <row r="17" customFormat="false" ht="15" hidden="false" customHeight="false" outlineLevel="0" collapsed="false">
      <c r="A17" s="7" t="s">
        <v>114</v>
      </c>
      <c r="B17" s="7" t="s">
        <v>115</v>
      </c>
      <c r="C17" s="7" t="s">
        <v>92</v>
      </c>
      <c r="D17" s="8" t="n">
        <v>520</v>
      </c>
      <c r="E17" s="7" t="s">
        <v>88</v>
      </c>
    </row>
    <row r="18" customFormat="false" ht="15" hidden="false" customHeight="false" outlineLevel="0" collapsed="false">
      <c r="A18" s="7" t="s">
        <v>116</v>
      </c>
      <c r="B18" s="7" t="s">
        <v>117</v>
      </c>
      <c r="C18" s="7" t="s">
        <v>78</v>
      </c>
      <c r="D18" s="8" t="n">
        <v>990</v>
      </c>
      <c r="E18" s="7" t="s">
        <v>84</v>
      </c>
    </row>
    <row r="19" customFormat="false" ht="15" hidden="false" customHeight="false" outlineLevel="0" collapsed="false">
      <c r="A19" s="7" t="s">
        <v>118</v>
      </c>
      <c r="B19" s="7" t="s">
        <v>119</v>
      </c>
      <c r="C19" s="7" t="s">
        <v>83</v>
      </c>
      <c r="D19" s="8" t="n">
        <v>2100</v>
      </c>
      <c r="E19" s="7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9"/>
    <col collapsed="false" customWidth="true" hidden="false" outlineLevel="0" max="7" min="6" style="0" width="14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2" min="11" style="0" width="16"/>
    <col collapsed="false" customWidth="true" hidden="false" outlineLevel="0" max="14" min="13" style="0" width="3"/>
    <col collapsed="false" customWidth="true" hidden="false" outlineLevel="0" max="15" min="15" style="0" width="14"/>
    <col collapsed="false" customWidth="true" hidden="false" outlineLevel="0" max="16" min="16" style="0" width="10"/>
  </cols>
  <sheetData>
    <row r="1" customFormat="false" ht="16.15" hidden="false" customHeight="false" outlineLevel="0" collapsed="false">
      <c r="A1" s="3" t="s">
        <v>120</v>
      </c>
    </row>
    <row r="2" customFormat="false" ht="15" hidden="false" customHeight="false" outlineLevel="0" collapsed="false">
      <c r="A2" s="4" t="s">
        <v>121</v>
      </c>
    </row>
    <row r="4" customFormat="false" ht="15" hidden="false" customHeight="false" outlineLevel="0" collapsed="false">
      <c r="A4" s="5" t="s">
        <v>122</v>
      </c>
      <c r="B4" s="5" t="s">
        <v>123</v>
      </c>
      <c r="C4" s="5" t="s">
        <v>124</v>
      </c>
      <c r="D4" s="5" t="s">
        <v>125</v>
      </c>
      <c r="E4" s="5" t="s">
        <v>126</v>
      </c>
      <c r="F4" s="5" t="s">
        <v>127</v>
      </c>
      <c r="G4" s="5" t="s">
        <v>128</v>
      </c>
      <c r="H4" s="5" t="s">
        <v>129</v>
      </c>
      <c r="I4" s="5" t="s">
        <v>130</v>
      </c>
      <c r="J4" s="5" t="s">
        <v>131</v>
      </c>
      <c r="K4" s="5" t="s">
        <v>132</v>
      </c>
      <c r="L4" s="5" t="s">
        <v>18</v>
      </c>
      <c r="O4" s="6" t="s">
        <v>133</v>
      </c>
      <c r="P4" s="6" t="s">
        <v>134</v>
      </c>
    </row>
    <row r="5" customFormat="false" ht="15" hidden="false" customHeight="false" outlineLevel="0" collapsed="false">
      <c r="A5" s="7" t="s">
        <v>41</v>
      </c>
      <c r="B5" s="8" t="n">
        <v>12000</v>
      </c>
      <c r="C5" s="8" t="n">
        <v>10000</v>
      </c>
      <c r="D5" s="7" t="n">
        <v>40</v>
      </c>
      <c r="E5" s="7" t="n">
        <v>10</v>
      </c>
      <c r="F5" s="21"/>
      <c r="G5" s="10"/>
      <c r="H5" s="22"/>
      <c r="I5" s="23" t="s">
        <v>135</v>
      </c>
      <c r="J5" s="11" t="n">
        <v>600</v>
      </c>
      <c r="K5" s="24" t="n">
        <v>0.25</v>
      </c>
      <c r="L5" s="7" t="str">
        <f aca="false">IF(AND(F5=I5,ROUND(G5,2)=J5,IF(ISNUMBER(H5),ROUND(H5,4),H5)=K5),"✔ Correcto","✘ Revisa")</f>
        <v>✘ Revisa</v>
      </c>
      <c r="O5" s="7" t="s">
        <v>136</v>
      </c>
      <c r="P5" s="12" t="n">
        <v>0.05</v>
      </c>
    </row>
    <row r="6" customFormat="false" ht="15" hidden="false" customHeight="false" outlineLevel="0" collapsed="false">
      <c r="A6" s="7" t="s">
        <v>44</v>
      </c>
      <c r="B6" s="8" t="n">
        <v>8500</v>
      </c>
      <c r="C6" s="8" t="n">
        <v>10000</v>
      </c>
      <c r="D6" s="7" t="n">
        <v>32</v>
      </c>
      <c r="E6" s="7" t="n">
        <v>6</v>
      </c>
      <c r="F6" s="21"/>
      <c r="G6" s="10"/>
      <c r="H6" s="22"/>
      <c r="I6" s="23" t="s">
        <v>137</v>
      </c>
      <c r="J6" s="11" t="n">
        <v>0</v>
      </c>
      <c r="K6" s="24" t="n">
        <v>0.1875</v>
      </c>
      <c r="L6" s="7" t="str">
        <f aca="false">IF(AND(F6=I6,ROUND(G6,2)=J6,IF(ISNUMBER(H6),ROUND(H6,4),H6)=K6),"✔ Correcto","✘ Revisa")</f>
        <v>✘ Revisa</v>
      </c>
    </row>
    <row r="7" customFormat="false" ht="15" hidden="false" customHeight="false" outlineLevel="0" collapsed="false">
      <c r="A7" s="7" t="s">
        <v>49</v>
      </c>
      <c r="B7" s="8" t="n">
        <v>10000</v>
      </c>
      <c r="C7" s="8" t="n">
        <v>10000</v>
      </c>
      <c r="D7" s="7" t="n">
        <v>25</v>
      </c>
      <c r="E7" s="7" t="n">
        <v>7</v>
      </c>
      <c r="F7" s="21"/>
      <c r="G7" s="10"/>
      <c r="H7" s="22"/>
      <c r="I7" s="23" t="s">
        <v>135</v>
      </c>
      <c r="J7" s="11" t="n">
        <v>500</v>
      </c>
      <c r="K7" s="24" t="n">
        <v>0.28</v>
      </c>
      <c r="L7" s="7" t="str">
        <f aca="false">IF(AND(F7=I7,ROUND(G7,2)=J7,IF(ISNUMBER(H7),ROUND(H7,4),H7)=K7),"✔ Correcto","✘ Revisa")</f>
        <v>✘ Revisa</v>
      </c>
    </row>
    <row r="8" customFormat="false" ht="15" hidden="false" customHeight="false" outlineLevel="0" collapsed="false">
      <c r="A8" s="7" t="s">
        <v>53</v>
      </c>
      <c r="B8" s="8" t="n">
        <v>15200</v>
      </c>
      <c r="C8" s="8" t="n">
        <v>12000</v>
      </c>
      <c r="D8" s="7" t="n">
        <v>0</v>
      </c>
      <c r="E8" s="7" t="n">
        <v>0</v>
      </c>
      <c r="F8" s="21"/>
      <c r="G8" s="10"/>
      <c r="H8" s="22"/>
      <c r="I8" s="23" t="s">
        <v>135</v>
      </c>
      <c r="J8" s="11" t="n">
        <v>760</v>
      </c>
      <c r="K8" s="24" t="s">
        <v>138</v>
      </c>
      <c r="L8" s="7" t="str">
        <f aca="false">IF(AND(F8=I8,ROUND(G8,2)=J8,IF(ISNUMBER(H8),ROUND(H8,4),H8)=K8),"✔ Correcto","✘ Revisa")</f>
        <v>✘ Revisa</v>
      </c>
    </row>
    <row r="9" customFormat="false" ht="15" hidden="false" customHeight="false" outlineLevel="0" collapsed="false">
      <c r="A9" s="7" t="s">
        <v>58</v>
      </c>
      <c r="B9" s="8" t="n">
        <v>7400</v>
      </c>
      <c r="C9" s="8" t="n">
        <v>9000</v>
      </c>
      <c r="D9" s="7" t="n">
        <v>28</v>
      </c>
      <c r="E9" s="7" t="n">
        <v>5</v>
      </c>
      <c r="F9" s="21"/>
      <c r="G9" s="10"/>
      <c r="H9" s="22"/>
      <c r="I9" s="23" t="s">
        <v>137</v>
      </c>
      <c r="J9" s="11" t="n">
        <v>0</v>
      </c>
      <c r="K9" s="24" t="n">
        <v>0.1786</v>
      </c>
      <c r="L9" s="7" t="str">
        <f aca="false">IF(AND(F9=I9,ROUND(G9,2)=J9,IF(ISNUMBER(H9),ROUND(H9,4),H9)=K9),"✔ Correcto","✘ Revisa")</f>
        <v>✘ Revisa</v>
      </c>
    </row>
    <row r="10" customFormat="false" ht="15" hidden="false" customHeight="false" outlineLevel="0" collapsed="false">
      <c r="A10" s="7" t="s">
        <v>60</v>
      </c>
      <c r="B10" s="8" t="n">
        <v>9100</v>
      </c>
      <c r="C10" s="8" t="n">
        <v>8000</v>
      </c>
      <c r="D10" s="7" t="n">
        <v>36</v>
      </c>
      <c r="E10" s="7" t="n">
        <v>9</v>
      </c>
      <c r="F10" s="21"/>
      <c r="G10" s="10"/>
      <c r="H10" s="22"/>
      <c r="I10" s="23" t="s">
        <v>135</v>
      </c>
      <c r="J10" s="11" t="n">
        <v>455</v>
      </c>
      <c r="K10" s="24" t="n">
        <v>0.25</v>
      </c>
      <c r="L10" s="7" t="str">
        <f aca="false">IF(AND(F10=I10,ROUND(G10,2)=J10,IF(ISNUMBER(H10),ROUND(H10,4),H10)=K10),"✔ Correcto","✘ Revisa")</f>
        <v>✘ Revisa</v>
      </c>
    </row>
    <row r="11" customFormat="false" ht="15" hidden="false" customHeight="false" outlineLevel="0" collapsed="false">
      <c r="A11" s="7" t="s">
        <v>63</v>
      </c>
      <c r="B11" s="8" t="n">
        <v>5600</v>
      </c>
      <c r="C11" s="8" t="n">
        <v>7000</v>
      </c>
      <c r="D11" s="7" t="n">
        <v>0</v>
      </c>
      <c r="E11" s="7" t="n">
        <v>0</v>
      </c>
      <c r="F11" s="21"/>
      <c r="G11" s="10"/>
      <c r="H11" s="22"/>
      <c r="I11" s="23" t="s">
        <v>137</v>
      </c>
      <c r="J11" s="11" t="n">
        <v>0</v>
      </c>
      <c r="K11" s="24" t="s">
        <v>138</v>
      </c>
      <c r="L11" s="7" t="str">
        <f aca="false">IF(AND(F11=I11,ROUND(G11,2)=J11,IF(ISNUMBER(H11),ROUND(H11,4),H11)=K11),"✔ Correcto","✘ Revisa")</f>
        <v>✘ Revisa</v>
      </c>
    </row>
    <row r="12" customFormat="false" ht="15" hidden="false" customHeight="false" outlineLevel="0" collapsed="false">
      <c r="A12" s="7" t="s">
        <v>66</v>
      </c>
      <c r="B12" s="8" t="n">
        <v>13300</v>
      </c>
      <c r="C12" s="8" t="n">
        <v>13000</v>
      </c>
      <c r="D12" s="7" t="n">
        <v>30</v>
      </c>
      <c r="E12" s="7" t="n">
        <v>8</v>
      </c>
      <c r="F12" s="21"/>
      <c r="G12" s="10"/>
      <c r="H12" s="22"/>
      <c r="I12" s="23" t="s">
        <v>135</v>
      </c>
      <c r="J12" s="11" t="n">
        <v>665</v>
      </c>
      <c r="K12" s="24" t="n">
        <v>0.2667</v>
      </c>
      <c r="L12" s="7" t="str">
        <f aca="false">IF(AND(F12=I12,ROUND(G12,2)=J12,IF(ISNUMBER(H12),ROUND(H12,4),H12)=K12),"✔ Correcto","✘ Revisa")</f>
        <v>✘ Revisa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7" min="5" style="0" width="16"/>
  </cols>
  <sheetData>
    <row r="1" customFormat="false" ht="16.15" hidden="false" customHeight="false" outlineLevel="0" collapsed="false">
      <c r="A1" s="3" t="s">
        <v>139</v>
      </c>
    </row>
    <row r="2" customFormat="false" ht="15" hidden="false" customHeight="false" outlineLevel="0" collapsed="false">
      <c r="A2" s="4" t="s">
        <v>140</v>
      </c>
    </row>
    <row r="4" customFormat="false" ht="15" hidden="false" customHeight="false" outlineLevel="0" collapsed="false">
      <c r="A4" s="13" t="s">
        <v>19</v>
      </c>
      <c r="B4" s="12" t="n">
        <v>0.16</v>
      </c>
    </row>
    <row r="5" customFormat="false" ht="15" hidden="false" customHeight="false" outlineLevel="0" collapsed="false">
      <c r="A5" s="13" t="s">
        <v>15</v>
      </c>
      <c r="B5" s="12" t="n">
        <v>0.1</v>
      </c>
    </row>
    <row r="7" customFormat="false" ht="15" hidden="false" customHeight="false" outlineLevel="0" collapsed="false">
      <c r="A7" s="5" t="s">
        <v>12</v>
      </c>
      <c r="B7" s="5" t="s">
        <v>13</v>
      </c>
      <c r="C7" s="5" t="s">
        <v>141</v>
      </c>
      <c r="D7" s="5" t="s">
        <v>142</v>
      </c>
      <c r="E7" s="5" t="s">
        <v>143</v>
      </c>
      <c r="F7" s="5" t="s">
        <v>16</v>
      </c>
    </row>
    <row r="8" customFormat="false" ht="15" hidden="false" customHeight="false" outlineLevel="0" collapsed="false">
      <c r="A8" s="7" t="s">
        <v>20</v>
      </c>
      <c r="B8" s="8" t="n">
        <v>12000</v>
      </c>
      <c r="C8" s="7" t="n">
        <v>1</v>
      </c>
      <c r="D8" s="8" t="n">
        <f aca="false">B8*C8</f>
        <v>12000</v>
      </c>
      <c r="E8" s="8" t="n">
        <f aca="false">D8*(1-$B$5)</f>
        <v>10800</v>
      </c>
      <c r="F8" s="8" t="n">
        <f aca="false">E8*(1+$B$4)</f>
        <v>12528</v>
      </c>
    </row>
    <row r="9" customFormat="false" ht="15" hidden="false" customHeight="false" outlineLevel="0" collapsed="false">
      <c r="A9" s="7" t="s">
        <v>22</v>
      </c>
      <c r="B9" s="8" t="n">
        <v>3500</v>
      </c>
      <c r="C9" s="7" t="n">
        <v>2</v>
      </c>
      <c r="D9" s="8" t="n">
        <f aca="false">B9*C9</f>
        <v>7000</v>
      </c>
      <c r="E9" s="8" t="n">
        <f aca="false">D9*(1-$B$5)</f>
        <v>6300</v>
      </c>
      <c r="F9" s="8" t="n">
        <f aca="false">E9*(1+$B$4)</f>
        <v>7308</v>
      </c>
    </row>
    <row r="10" customFormat="false" ht="15" hidden="false" customHeight="false" outlineLevel="0" collapsed="false">
      <c r="A10" s="7" t="s">
        <v>23</v>
      </c>
      <c r="B10" s="8" t="n">
        <v>800</v>
      </c>
      <c r="C10" s="7" t="n">
        <v>5</v>
      </c>
      <c r="D10" s="8" t="n">
        <f aca="false">B10*C10</f>
        <v>4000</v>
      </c>
      <c r="E10" s="8" t="n">
        <f aca="false">D10*(1-$B$5)</f>
        <v>3600</v>
      </c>
      <c r="F10" s="8" t="n">
        <f aca="false">E10*(1+$B$4)</f>
        <v>4176</v>
      </c>
    </row>
    <row r="11" customFormat="false" ht="15" hidden="false" customHeight="false" outlineLevel="0" collapsed="false">
      <c r="A11" s="7" t="s">
        <v>24</v>
      </c>
      <c r="B11" s="8" t="n">
        <v>2900</v>
      </c>
      <c r="C11" s="7" t="n">
        <v>3</v>
      </c>
      <c r="D11" s="8" t="n">
        <f aca="false">B11*C11</f>
        <v>8700</v>
      </c>
      <c r="E11" s="8" t="n">
        <f aca="false">D11*(1-$B$5)</f>
        <v>7830</v>
      </c>
      <c r="F11" s="8" t="n">
        <f aca="false">E11*(1+$B$4)</f>
        <v>9082.8</v>
      </c>
    </row>
    <row r="12" customFormat="false" ht="15" hidden="false" customHeight="false" outlineLevel="0" collapsed="false">
      <c r="A12" s="13" t="s">
        <v>144</v>
      </c>
      <c r="F12" s="25" t="n">
        <f aca="false">SUM(F8:F11)</f>
        <v>33094.8</v>
      </c>
    </row>
    <row r="14" customFormat="false" ht="15" hidden="false" customHeight="false" outlineLevel="0" collapsed="false">
      <c r="A14" s="5" t="s">
        <v>38</v>
      </c>
      <c r="B14" s="5"/>
      <c r="C14" s="5"/>
      <c r="D14" s="5"/>
      <c r="E14" s="5" t="s">
        <v>145</v>
      </c>
      <c r="F14" s="5" t="s">
        <v>17</v>
      </c>
      <c r="G14" s="5" t="s">
        <v>18</v>
      </c>
    </row>
    <row r="15" customFormat="false" ht="15" hidden="false" customHeight="false" outlineLevel="0" collapsed="false">
      <c r="A15" s="26" t="s">
        <v>146</v>
      </c>
      <c r="B15" s="26"/>
      <c r="C15" s="26"/>
      <c r="D15" s="26"/>
      <c r="E15" s="10"/>
      <c r="F15" s="11" t="n">
        <v>30812.4</v>
      </c>
      <c r="G15" s="7" t="str">
        <f aca="false">IF(ROUND(E15,2)=F15,"✔ Correcto","✘ Revisa")</f>
        <v>✘ Revisa</v>
      </c>
    </row>
    <row r="16" customFormat="false" ht="15" hidden="false" customHeight="false" outlineLevel="0" collapsed="false">
      <c r="A16" s="26" t="s">
        <v>147</v>
      </c>
      <c r="B16" s="26"/>
      <c r="C16" s="26"/>
      <c r="D16" s="26"/>
      <c r="E16" s="10"/>
      <c r="F16" s="11" t="n">
        <v>36772</v>
      </c>
      <c r="G16" s="7" t="str">
        <f aca="false">IF(ROUND(E16,2)=F16,"✔ Correcto","✘ Revisa")</f>
        <v>✘ Revisa</v>
      </c>
    </row>
    <row r="17" customFormat="false" ht="15" hidden="false" customHeight="false" outlineLevel="0" collapsed="false">
      <c r="A17" s="26" t="s">
        <v>148</v>
      </c>
      <c r="B17" s="26"/>
      <c r="C17" s="26"/>
      <c r="D17" s="26"/>
      <c r="E17" s="18"/>
      <c r="F17" s="19" t="n">
        <v>1</v>
      </c>
      <c r="G17" s="7" t="str">
        <f aca="false">IF(ROUND(E17,2)=F17,"✔ Correcto","✘ Revisa")</f>
        <v>✘ Revisa</v>
      </c>
    </row>
    <row r="19" customFormat="false" ht="15" hidden="false" customHeight="false" outlineLevel="0" collapsed="false">
      <c r="A19" s="13" t="s">
        <v>149</v>
      </c>
    </row>
    <row r="20" customFormat="false" ht="15" hidden="false" customHeight="false" outlineLevel="0" collapsed="false">
      <c r="A20" s="20"/>
      <c r="B20" s="20"/>
      <c r="C20" s="20"/>
      <c r="D20" s="20"/>
      <c r="E20" s="20"/>
      <c r="F20" s="20"/>
      <c r="G20" s="20"/>
    </row>
    <row r="21" customFormat="false" ht="15" hidden="false" customHeight="false" outlineLevel="0" collapsed="false">
      <c r="A21" s="20"/>
      <c r="B21" s="20"/>
      <c r="C21" s="20"/>
      <c r="D21" s="20"/>
      <c r="E21" s="20"/>
      <c r="F21" s="20"/>
      <c r="G21" s="20"/>
    </row>
  </sheetData>
  <mergeCells count="4">
    <mergeCell ref="A15:D15"/>
    <mergeCell ref="A16:D16"/>
    <mergeCell ref="A17:D17"/>
    <mergeCell ref="A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2026-10-16T03:36:20Z</dcterms:created>
  <dc:creator>openpyxl</dc:creator>
  <dc:description/>
  <dc:language>en-US</dc:language>
  <cp:lastModifiedBy/>
  <dcterms:modified xsi:type="dcterms:W3CDTF">2026-10-16T03:36:20Z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