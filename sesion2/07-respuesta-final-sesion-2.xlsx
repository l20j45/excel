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Ejercicio_Clase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<sst xmlns="http://schemas.openxmlformats.org/spreadsheetml/2006/main" count="143" uniqueCount="97">
  <si>
    <t xml:space="preserve">Excel Básico · Clase 2: Nómina y comisiones (taller integrador)</t>
  </si>
  <si>
    <t xml:space="preserve">Situación: Recursos Humanos necesita calcular comisiones y un resumen del mes con los 24 empleados.</t>
  </si>
  <si>
    <t xml:space="preserve">Celdas amarillas = las que debes llenar con fórmulas. Celdas con texto azul = parámetros (no los cambies dentro de las fórmulas: refiérelos).</t>
  </si>
  <si>
    <t xml:space="preserve">Ejemplo resuelto (celda verde H2): =D2*(1+$M$2). Fíjate cómo se bloquea la tasa de IVA con F4.</t>
  </si>
  <si>
    <t xml:space="preserve">1. Ventas_con_IVA (columna H): copia la fórmula de H2 hacia abajo hasta la fila 25.</t>
  </si>
  <si>
    <t xml:space="preserve">2. Comisión (columna I): con la función SI, si Ventas_Mes es mayor o igual a la meta aplica la comisión de meta; si no, la comisión base. Fija los parámetros con $.</t>
  </si>
  <si>
    <t xml:space="preserve">3. Ticket_Promedio (columna J): Ventas_Mes entre Unidades_Vendidas. Algunas filas darán error por división entre cero: corrígelo con SI.ERROR mostrando "Sin unidades".</t>
  </si>
  <si>
    <t xml:space="preserve">4. Resumen (M9:M18): total, promedio, máximo, mínimo, CONTAR, CONTARA, CONTAR.BLANCO, CONTAR.SI y SUMAR.SI según cada etiqueta.</t>
  </si>
  <si>
    <t xml:space="preserve">5. Reto: cambia la meta a 12,000 en M3 y observa cómo se actualizan comisiones y resumen sin tocar ninguna fórmula.</t>
  </si>
  <si>
    <t xml:space="preserve">Datos ficticios con fines de capacitación.</t>
  </si>
  <si>
    <t xml:space="preserve">ID_Empleado</t>
  </si>
  <si>
    <t xml:space="preserve">Nombre</t>
  </si>
  <si>
    <t xml:space="preserve">Departamento</t>
  </si>
  <si>
    <t xml:space="preserve">Ventas_Mes</t>
  </si>
  <si>
    <t xml:space="preserve">Unidades_Vendidas</t>
  </si>
  <si>
    <t xml:space="preserve">Estatus_Pago</t>
  </si>
  <si>
    <t xml:space="preserve">Notas</t>
  </si>
  <si>
    <t xml:space="preserve">Ventas_con_IVA</t>
  </si>
  <si>
    <t xml:space="preserve">Comision</t>
  </si>
  <si>
    <t xml:space="preserve">Ticket_Promedio</t>
  </si>
  <si>
    <t xml:space="preserve">PARÁMETROS</t>
  </si>
  <si>
    <t xml:space="preserve">EMP-101</t>
  </si>
  <si>
    <t xml:space="preserve">Carlos Mendoza</t>
  </si>
  <si>
    <t xml:space="preserve">Marketing</t>
  </si>
  <si>
    <t xml:space="preserve">Pagado</t>
  </si>
  <si>
    <t xml:space="preserve">Tasa de IVA</t>
  </si>
  <si>
    <t xml:space="preserve">EMP-102</t>
  </si>
  <si>
    <t xml:space="preserve">Ana María Gómez</t>
  </si>
  <si>
    <t xml:space="preserve">Ventas</t>
  </si>
  <si>
    <t xml:space="preserve">Pendiente</t>
  </si>
  <si>
    <t xml:space="preserve">Meta de ventas</t>
  </si>
  <si>
    <t xml:space="preserve">EMP-103</t>
  </si>
  <si>
    <t xml:space="preserve">Roberto López</t>
  </si>
  <si>
    <t xml:space="preserve">Comisión si cumple meta</t>
  </si>
  <si>
    <t xml:space="preserve">EMP-104</t>
  </si>
  <si>
    <t xml:space="preserve">Sofía Hernández</t>
  </si>
  <si>
    <t xml:space="preserve">Comisión base</t>
  </si>
  <si>
    <t xml:space="preserve">EMP-105</t>
  </si>
  <si>
    <t xml:space="preserve">Miguel Ángel Torres</t>
  </si>
  <si>
    <t xml:space="preserve">Seguimiento semanal</t>
  </si>
  <si>
    <t xml:space="preserve">EMP-106</t>
  </si>
  <si>
    <t xml:space="preserve">Laura Ramírez</t>
  </si>
  <si>
    <t xml:space="preserve">Operaciones</t>
  </si>
  <si>
    <t xml:space="preserve">EMP-107</t>
  </si>
  <si>
    <t xml:space="preserve">Jorge Luis Delgado</t>
  </si>
  <si>
    <t xml:space="preserve">Cliente nuevo</t>
  </si>
  <si>
    <t xml:space="preserve">RESUMEN</t>
  </si>
  <si>
    <t xml:space="preserve">EMP-108</t>
  </si>
  <si>
    <t xml:space="preserve">Mariana Castillo</t>
  </si>
  <si>
    <t xml:space="preserve">Meta mensual cumplida</t>
  </si>
  <si>
    <t xml:space="preserve">Total de ventas</t>
  </si>
  <si>
    <t xml:space="preserve">EMP-109</t>
  </si>
  <si>
    <t xml:space="preserve">Fernando Ruiz</t>
  </si>
  <si>
    <t xml:space="preserve">Sin observaciones</t>
  </si>
  <si>
    <t xml:space="preserve">Promedio de ventas</t>
  </si>
  <si>
    <t xml:space="preserve">EMP-110</t>
  </si>
  <si>
    <t xml:space="preserve">Patricia Morales</t>
  </si>
  <si>
    <t xml:space="preserve">Venta máxima</t>
  </si>
  <si>
    <t xml:space="preserve">EMP-111</t>
  </si>
  <si>
    <t xml:space="preserve">Gabriel Vargas</t>
  </si>
  <si>
    <t xml:space="preserve">Venta mínima</t>
  </si>
  <si>
    <t xml:space="preserve">EMP-112</t>
  </si>
  <si>
    <t xml:space="preserve">Claudia Guerrero</t>
  </si>
  <si>
    <t xml:space="preserve">Empleados con ventas (CONTAR)</t>
  </si>
  <si>
    <t xml:space="preserve">EMP-113</t>
  </si>
  <si>
    <t xml:space="preserve">Ricardo Ortiz</t>
  </si>
  <si>
    <t xml:space="preserve">Pendiente de auditoría</t>
  </si>
  <si>
    <t xml:space="preserve">Empleados registrados (CONTARA)</t>
  </si>
  <si>
    <t xml:space="preserve">EMP-114</t>
  </si>
  <si>
    <t xml:space="preserve">Daniela Gutiérrez</t>
  </si>
  <si>
    <t xml:space="preserve">Notas vacías (CONTAR.BLANCO)</t>
  </si>
  <si>
    <t xml:space="preserve">EMP-115</t>
  </si>
  <si>
    <t xml:space="preserve">Alejandro Salazar</t>
  </si>
  <si>
    <t xml:space="preserve">Cumplieron la meta (CONTAR.SI)</t>
  </si>
  <si>
    <t xml:space="preserve">EMP-116</t>
  </si>
  <si>
    <t xml:space="preserve">Verónica Cruz</t>
  </si>
  <si>
    <t xml:space="preserve">Cambio de zona</t>
  </si>
  <si>
    <t xml:space="preserve">Pagos pendientes (CONTAR.SI)</t>
  </si>
  <si>
    <t xml:space="preserve">EMP-117</t>
  </si>
  <si>
    <t xml:space="preserve">Eduardo Reyes</t>
  </si>
  <si>
    <t xml:space="preserve">Ventas con pago pendiente (SUMAR.SI)</t>
  </si>
  <si>
    <t xml:space="preserve">EMP-118</t>
  </si>
  <si>
    <t xml:space="preserve">Andrea Aguilar</t>
  </si>
  <si>
    <t xml:space="preserve">Capacitación pendiente</t>
  </si>
  <si>
    <t xml:space="preserve">EMP-119</t>
  </si>
  <si>
    <t xml:space="preserve">Héctor Núñez</t>
  </si>
  <si>
    <t xml:space="preserve">EMP-120</t>
  </si>
  <si>
    <t xml:space="preserve">Mónica Silva</t>
  </si>
  <si>
    <t xml:space="preserve">EMP-121</t>
  </si>
  <si>
    <t xml:space="preserve">Javier Ramos</t>
  </si>
  <si>
    <t xml:space="preserve">EMP-122</t>
  </si>
  <si>
    <t xml:space="preserve">Natalia Méndez</t>
  </si>
  <si>
    <t xml:space="preserve">EMP-123</t>
  </si>
  <si>
    <t xml:space="preserve">Raúl Figueroa</t>
  </si>
  <si>
    <t xml:space="preserve">EMP-124</t>
  </si>
  <si>
    <t xml:space="preserve">Lidia Paredes</t>
  </si>
  <si>
    <t xml:space="preserve">Cliente recurrente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</si>
</sst>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%"/>
    <numFmt numFmtId="167" formatCode="\$#,##0"/>
    <numFmt numFmtId="168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DDF4E4"/>
        <bgColor rgb="FFCCFFFF"/>
      </patternFill>
    </fill>
    <fill>
      <patternFill patternType="solid">
        <fgColor rgb="FFFFF7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2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4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3"/>
    <col collapsed="false" customWidth="true" hidden="false" outlineLevel="0" max="12" min="12" style="0" width="38"/>
    <col collapsed="false" customWidth="true" hidden="false" outlineLevel="0" max="13" min="13" style="0" width="16"/>
  </cols>
  <sheetData>
    <row r="1" customFormat="false" ht="31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L1" s="4" t="s">
        <v>20</v>
      </c>
      <c r="M1" s="5"/>
    </row>
    <row r="2" customFormat="false" ht="15" hidden="false" customHeight="false" outlineLevel="0" collapsed="false">
      <c r="A2" s="6" t="s">
        <v>21</v>
      </c>
      <c r="B2" s="6" t="s">
        <v>22</v>
      </c>
      <c r="C2" s="6" t="s">
        <v>23</v>
      </c>
      <c r="D2" s="7" t="n">
        <v>12000</v>
      </c>
      <c r="E2" s="6" t="n">
        <v>4</v>
      </c>
      <c r="F2" s="6" t="s">
        <v>24</v>
      </c>
      <c r="G2" s="6"/>
      <c r="H2" s="8" t="n">
        <f aca="false">D2*(1+$M$2)</f>
        <v>13920</v>
      </c>
      <c r="I2" s="9" t="n">
        <f aca="false">IF(D2&gt;=$M$3,D2*$M$4,D2*$M$5)</f>
        <v>600</v>
      </c>
      <c r="J2" s="9" t="n">
        <f aca="false">IFERROR(D2/E2,"Sin unidades")</f>
        <v>3000</v>
      </c>
      <c r="L2" s="6" t="s">
        <v>25</v>
      </c>
      <c r="M2" s="10" t="n">
        <v>0.16</v>
      </c>
    </row>
    <row r="3" customFormat="false" ht="15" hidden="false" customHeight="false" outlineLevel="0" collapsed="false">
      <c r="A3" s="6" t="s">
        <v>26</v>
      </c>
      <c r="B3" s="6" t="s">
        <v>27</v>
      </c>
      <c r="C3" s="6" t="s">
        <v>28</v>
      </c>
      <c r="D3" s="7" t="n">
        <v>12500</v>
      </c>
      <c r="E3" s="6" t="n">
        <v>3</v>
      </c>
      <c r="F3" s="6" t="s">
        <v>29</v>
      </c>
      <c r="G3" s="6"/>
      <c r="H3" s="9" t="n">
        <f aca="false">D3*(1+$M$2)</f>
        <v>14500</v>
      </c>
      <c r="I3" s="9" t="n">
        <f aca="false">IF(D3&gt;=$M$3,D3*$M$4,D3*$M$5)</f>
        <v>625</v>
      </c>
      <c r="J3" s="9" t="n">
        <f aca="false">IFERROR(D3/E3,"Sin unidades")</f>
        <v>4166.66666666667</v>
      </c>
      <c r="L3" s="6" t="s">
        <v>30</v>
      </c>
      <c r="M3" s="11" t="n">
        <v>10000</v>
      </c>
    </row>
    <row r="4" customFormat="false" ht="15" hidden="false" customHeight="false" outlineLevel="0" collapsed="false">
      <c r="A4" s="6" t="s">
        <v>31</v>
      </c>
      <c r="B4" s="6" t="s">
        <v>32</v>
      </c>
      <c r="C4" s="6" t="s">
        <v>28</v>
      </c>
      <c r="D4" s="7" t="n">
        <v>10000</v>
      </c>
      <c r="E4" s="6" t="n">
        <v>4</v>
      </c>
      <c r="F4" s="6" t="s">
        <v>24</v>
      </c>
      <c r="G4" s="6"/>
      <c r="H4" s="9" t="n">
        <f aca="false">D4*(1+$M$2)</f>
        <v>11600</v>
      </c>
      <c r="I4" s="9" t="n">
        <f aca="false">IF(D4&gt;=$M$3,D4*$M$4,D4*$M$5)</f>
        <v>500</v>
      </c>
      <c r="J4" s="9" t="n">
        <f aca="false">IFERROR(D4/E4,"Sin unidades")</f>
        <v>2500</v>
      </c>
      <c r="L4" s="6" t="s">
        <v>33</v>
      </c>
      <c r="M4" s="10" t="n">
        <v>0.05</v>
      </c>
    </row>
    <row r="5" customFormat="false" ht="15" hidden="false" customHeight="false" outlineLevel="0" collapsed="false">
      <c r="A5" s="6" t="s">
        <v>34</v>
      </c>
      <c r="B5" s="6" t="s">
        <v>35</v>
      </c>
      <c r="C5" s="6" t="s">
        <v>28</v>
      </c>
      <c r="D5" s="7" t="n">
        <v>9900</v>
      </c>
      <c r="E5" s="6" t="n">
        <v>3</v>
      </c>
      <c r="F5" s="6" t="s">
        <v>24</v>
      </c>
      <c r="G5" s="6"/>
      <c r="H5" s="9" t="n">
        <f aca="false">D5*(1+$M$2)</f>
        <v>11484</v>
      </c>
      <c r="I5" s="9" t="n">
        <f aca="false">IF(D5&gt;=$M$3,D5*$M$4,D5*$M$5)</f>
        <v>198</v>
      </c>
      <c r="J5" s="9" t="n">
        <f aca="false">IFERROR(D5/E5,"Sin unidades")</f>
        <v>3300</v>
      </c>
      <c r="L5" s="6" t="s">
        <v>36</v>
      </c>
      <c r="M5" s="10" t="n">
        <v>0.02</v>
      </c>
    </row>
    <row r="6" customFormat="false" ht="15" hidden="false" customHeight="false" outlineLevel="0" collapsed="false">
      <c r="A6" s="6" t="s">
        <v>37</v>
      </c>
      <c r="B6" s="6" t="s">
        <v>38</v>
      </c>
      <c r="C6" s="6" t="s">
        <v>28</v>
      </c>
      <c r="D6" s="7" t="n">
        <v>18500</v>
      </c>
      <c r="E6" s="6" t="n">
        <v>0</v>
      </c>
      <c r="F6" s="6" t="s">
        <v>24</v>
      </c>
      <c r="G6" s="6" t="s">
        <v>39</v>
      </c>
      <c r="H6" s="9" t="n">
        <f aca="false">D6*(1+$M$2)</f>
        <v>21460</v>
      </c>
      <c r="I6" s="9" t="n">
        <f aca="false">IF(D6&gt;=$M$3,D6*$M$4,D6*$M$5)</f>
        <v>925</v>
      </c>
      <c r="J6" s="9" t="str">
        <f aca="false">IFERROR(D6/E6,"Sin unidades")</f>
        <v>Sin unidades</v>
      </c>
    </row>
    <row r="7" customFormat="false" ht="15" hidden="false" customHeight="false" outlineLevel="0" collapsed="false">
      <c r="A7" s="6" t="s">
        <v>40</v>
      </c>
      <c r="B7" s="6" t="s">
        <v>41</v>
      </c>
      <c r="C7" s="6" t="s">
        <v>42</v>
      </c>
      <c r="D7" s="7" t="n">
        <v>10400</v>
      </c>
      <c r="E7" s="6" t="n">
        <v>8</v>
      </c>
      <c r="F7" s="6" t="s">
        <v>29</v>
      </c>
      <c r="G7" s="6" t="s">
        <v>39</v>
      </c>
      <c r="H7" s="9" t="n">
        <f aca="false">D7*(1+$M$2)</f>
        <v>12064</v>
      </c>
      <c r="I7" s="9" t="n">
        <f aca="false">IF(D7&gt;=$M$3,D7*$M$4,D7*$M$5)</f>
        <v>520</v>
      </c>
      <c r="J7" s="9" t="n">
        <f aca="false">IFERROR(D7/E7,"Sin unidades")</f>
        <v>1300</v>
      </c>
    </row>
    <row r="8" customFormat="false" ht="15" hidden="false" customHeight="false" outlineLevel="0" collapsed="false">
      <c r="A8" s="6" t="s">
        <v>43</v>
      </c>
      <c r="B8" s="6" t="s">
        <v>44</v>
      </c>
      <c r="C8" s="6" t="s">
        <v>23</v>
      </c>
      <c r="D8" s="7" t="n">
        <v>7900</v>
      </c>
      <c r="E8" s="6" t="n">
        <v>6</v>
      </c>
      <c r="F8" s="6" t="s">
        <v>24</v>
      </c>
      <c r="G8" s="6" t="s">
        <v>45</v>
      </c>
      <c r="H8" s="9" t="n">
        <f aca="false">D8*(1+$M$2)</f>
        <v>9164</v>
      </c>
      <c r="I8" s="9" t="n">
        <f aca="false">IF(D8&gt;=$M$3,D8*$M$4,D8*$M$5)</f>
        <v>158</v>
      </c>
      <c r="J8" s="9" t="n">
        <f aca="false">IFERROR(D8/E8,"Sin unidades")</f>
        <v>1316.66666666667</v>
      </c>
      <c r="L8" s="4" t="s">
        <v>46</v>
      </c>
      <c r="M8" s="5"/>
    </row>
    <row r="9" customFormat="false" ht="15" hidden="false" customHeight="false" outlineLevel="0" collapsed="false">
      <c r="A9" s="6" t="s">
        <v>47</v>
      </c>
      <c r="B9" s="6" t="s">
        <v>48</v>
      </c>
      <c r="C9" s="6" t="s">
        <v>23</v>
      </c>
      <c r="D9" s="7" t="n">
        <v>11800</v>
      </c>
      <c r="E9" s="6" t="n">
        <v>4</v>
      </c>
      <c r="F9" s="6" t="s">
        <v>24</v>
      </c>
      <c r="G9" s="6" t="s">
        <v>49</v>
      </c>
      <c r="H9" s="9" t="n">
        <f aca="false">D9*(1+$M$2)</f>
        <v>13688</v>
      </c>
      <c r="I9" s="9" t="n">
        <f aca="false">IF(D9&gt;=$M$3,D9*$M$4,D9*$M$5)</f>
        <v>590</v>
      </c>
      <c r="J9" s="9" t="n">
        <f aca="false">IFERROR(D9/E9,"Sin unidades")</f>
        <v>2950</v>
      </c>
      <c r="L9" s="6" t="s">
        <v>50</v>
      </c>
      <c r="M9" s="9" t="n">
        <f aca="false">SUM(D2:D25)</f>
        <v>243600</v>
      </c>
    </row>
    <row r="10" customFormat="false" ht="15" hidden="false" customHeight="false" outlineLevel="0" collapsed="false">
      <c r="A10" s="6" t="s">
        <v>51</v>
      </c>
      <c r="B10" s="6" t="s">
        <v>52</v>
      </c>
      <c r="C10" s="6" t="s">
        <v>42</v>
      </c>
      <c r="D10" s="7" t="n">
        <v>8900</v>
      </c>
      <c r="E10" s="6" t="n">
        <v>8</v>
      </c>
      <c r="F10" s="6" t="s">
        <v>29</v>
      </c>
      <c r="G10" s="6" t="s">
        <v>53</v>
      </c>
      <c r="H10" s="9" t="n">
        <f aca="false">D10*(1+$M$2)</f>
        <v>10324</v>
      </c>
      <c r="I10" s="9" t="n">
        <f aca="false">IF(D10&gt;=$M$3,D10*$M$4,D10*$M$5)</f>
        <v>178</v>
      </c>
      <c r="J10" s="9" t="n">
        <f aca="false">IFERROR(D10/E10,"Sin unidades")</f>
        <v>1112.5</v>
      </c>
      <c r="L10" s="6" t="s">
        <v>54</v>
      </c>
      <c r="M10" s="9" t="n">
        <f aca="false">AVERAGE(D2:D25)</f>
        <v>10150</v>
      </c>
    </row>
    <row r="11" customFormat="false" ht="15" hidden="false" customHeight="false" outlineLevel="0" collapsed="false">
      <c r="A11" s="6" t="s">
        <v>55</v>
      </c>
      <c r="B11" s="6" t="s">
        <v>56</v>
      </c>
      <c r="C11" s="6" t="s">
        <v>23</v>
      </c>
      <c r="D11" s="7" t="n">
        <v>7200</v>
      </c>
      <c r="E11" s="6" t="n">
        <v>5</v>
      </c>
      <c r="F11" s="6" t="s">
        <v>24</v>
      </c>
      <c r="G11" s="6"/>
      <c r="H11" s="9" t="n">
        <f aca="false">D11*(1+$M$2)</f>
        <v>8352</v>
      </c>
      <c r="I11" s="9" t="n">
        <f aca="false">IF(D11&gt;=$M$3,D11*$M$4,D11*$M$5)</f>
        <v>144</v>
      </c>
      <c r="J11" s="9" t="n">
        <f aca="false">IFERROR(D11/E11,"Sin unidades")</f>
        <v>1440</v>
      </c>
      <c r="L11" s="6" t="s">
        <v>57</v>
      </c>
      <c r="M11" s="9" t="n">
        <f aca="false">MAX(D2:D25)</f>
        <v>18500</v>
      </c>
    </row>
    <row r="12" customFormat="false" ht="15" hidden="false" customHeight="false" outlineLevel="0" collapsed="false">
      <c r="A12" s="6" t="s">
        <v>58</v>
      </c>
      <c r="B12" s="6" t="s">
        <v>59</v>
      </c>
      <c r="C12" s="6" t="s">
        <v>23</v>
      </c>
      <c r="D12" s="7" t="n">
        <v>8100</v>
      </c>
      <c r="E12" s="6" t="n">
        <v>4</v>
      </c>
      <c r="F12" s="6" t="s">
        <v>24</v>
      </c>
      <c r="G12" s="6"/>
      <c r="H12" s="9" t="n">
        <f aca="false">D12*(1+$M$2)</f>
        <v>9396</v>
      </c>
      <c r="I12" s="9" t="n">
        <f aca="false">IF(D12&gt;=$M$3,D12*$M$4,D12*$M$5)</f>
        <v>162</v>
      </c>
      <c r="J12" s="9" t="n">
        <f aca="false">IFERROR(D12/E12,"Sin unidades")</f>
        <v>2025</v>
      </c>
      <c r="L12" s="6" t="s">
        <v>60</v>
      </c>
      <c r="M12" s="9" t="n">
        <f aca="false">MIN(D2:D25)</f>
        <v>4200</v>
      </c>
    </row>
    <row r="13" customFormat="false" ht="15" hidden="false" customHeight="false" outlineLevel="0" collapsed="false">
      <c r="A13" s="6" t="s">
        <v>61</v>
      </c>
      <c r="B13" s="6" t="s">
        <v>62</v>
      </c>
      <c r="C13" s="6" t="s">
        <v>23</v>
      </c>
      <c r="D13" s="7" t="n">
        <v>8400</v>
      </c>
      <c r="E13" s="6" t="n">
        <v>3</v>
      </c>
      <c r="F13" s="6" t="s">
        <v>24</v>
      </c>
      <c r="G13" s="6"/>
      <c r="H13" s="9" t="n">
        <f aca="false">D13*(1+$M$2)</f>
        <v>9744</v>
      </c>
      <c r="I13" s="9" t="n">
        <f aca="false">IF(D13&gt;=$M$3,D13*$M$4,D13*$M$5)</f>
        <v>168</v>
      </c>
      <c r="J13" s="9" t="n">
        <f aca="false">IFERROR(D13/E13,"Sin unidades")</f>
        <v>2800</v>
      </c>
      <c r="L13" s="6" t="s">
        <v>63</v>
      </c>
      <c r="M13" s="12" t="n">
        <f aca="false">COUNT(D2:D25)</f>
        <v>24</v>
      </c>
    </row>
    <row r="14" customFormat="false" ht="15" hidden="false" customHeight="false" outlineLevel="0" collapsed="false">
      <c r="A14" s="6" t="s">
        <v>64</v>
      </c>
      <c r="B14" s="6" t="s">
        <v>65</v>
      </c>
      <c r="C14" s="6" t="s">
        <v>23</v>
      </c>
      <c r="D14" s="7" t="n">
        <v>14000</v>
      </c>
      <c r="E14" s="6" t="n">
        <v>5</v>
      </c>
      <c r="F14" s="6" t="s">
        <v>24</v>
      </c>
      <c r="G14" s="6" t="s">
        <v>66</v>
      </c>
      <c r="H14" s="9" t="n">
        <f aca="false">D14*(1+$M$2)</f>
        <v>16240</v>
      </c>
      <c r="I14" s="9" t="n">
        <f aca="false">IF(D14&gt;=$M$3,D14*$M$4,D14*$M$5)</f>
        <v>700</v>
      </c>
      <c r="J14" s="9" t="n">
        <f aca="false">IFERROR(D14/E14,"Sin unidades")</f>
        <v>2800</v>
      </c>
      <c r="L14" s="6" t="s">
        <v>67</v>
      </c>
      <c r="M14" s="12" t="n">
        <f aca="false">COUNTA(B2:B25)</f>
        <v>24</v>
      </c>
    </row>
    <row r="15" customFormat="false" ht="15" hidden="false" customHeight="false" outlineLevel="0" collapsed="false">
      <c r="A15" s="6" t="s">
        <v>68</v>
      </c>
      <c r="B15" s="6" t="s">
        <v>69</v>
      </c>
      <c r="C15" s="6" t="s">
        <v>23</v>
      </c>
      <c r="D15" s="7" t="n">
        <v>6500</v>
      </c>
      <c r="E15" s="6" t="n">
        <v>5</v>
      </c>
      <c r="F15" s="6" t="s">
        <v>29</v>
      </c>
      <c r="G15" s="6"/>
      <c r="H15" s="9" t="n">
        <f aca="false">D15*(1+$M$2)</f>
        <v>7540</v>
      </c>
      <c r="I15" s="9" t="n">
        <f aca="false">IF(D15&gt;=$M$3,D15*$M$4,D15*$M$5)</f>
        <v>130</v>
      </c>
      <c r="J15" s="9" t="n">
        <f aca="false">IFERROR(D15/E15,"Sin unidades")</f>
        <v>1300</v>
      </c>
      <c r="L15" s="6" t="s">
        <v>70</v>
      </c>
      <c r="M15" s="12" t="n">
        <f aca="false">COUNTBLANK(G2:G25)</f>
        <v>13</v>
      </c>
    </row>
    <row r="16" customFormat="false" ht="15" hidden="false" customHeight="false" outlineLevel="0" collapsed="false">
      <c r="A16" s="6" t="s">
        <v>71</v>
      </c>
      <c r="B16" s="6" t="s">
        <v>72</v>
      </c>
      <c r="C16" s="6" t="s">
        <v>28</v>
      </c>
      <c r="D16" s="7" t="n">
        <v>16800</v>
      </c>
      <c r="E16" s="6" t="n">
        <v>6</v>
      </c>
      <c r="F16" s="6" t="s">
        <v>29</v>
      </c>
      <c r="G16" s="6" t="s">
        <v>39</v>
      </c>
      <c r="H16" s="9" t="n">
        <f aca="false">D16*(1+$M$2)</f>
        <v>19488</v>
      </c>
      <c r="I16" s="9" t="n">
        <f aca="false">IF(D16&gt;=$M$3,D16*$M$4,D16*$M$5)</f>
        <v>840</v>
      </c>
      <c r="J16" s="9" t="n">
        <f aca="false">IFERROR(D16/E16,"Sin unidades")</f>
        <v>2800</v>
      </c>
      <c r="L16" s="6" t="s">
        <v>73</v>
      </c>
      <c r="M16" s="12" t="n">
        <f aca="false">COUNTIF(D2:D25,"&gt;="&amp;M3)</f>
        <v>11</v>
      </c>
    </row>
    <row r="17" customFormat="false" ht="15" hidden="false" customHeight="false" outlineLevel="0" collapsed="false">
      <c r="A17" s="6" t="s">
        <v>74</v>
      </c>
      <c r="B17" s="6" t="s">
        <v>75</v>
      </c>
      <c r="C17" s="6" t="s">
        <v>28</v>
      </c>
      <c r="D17" s="7" t="n">
        <v>5800</v>
      </c>
      <c r="E17" s="6" t="n">
        <v>3</v>
      </c>
      <c r="F17" s="6" t="s">
        <v>24</v>
      </c>
      <c r="G17" s="6" t="s">
        <v>76</v>
      </c>
      <c r="H17" s="9" t="n">
        <f aca="false">D17*(1+$M$2)</f>
        <v>6728</v>
      </c>
      <c r="I17" s="9" t="n">
        <f aca="false">IF(D17&gt;=$M$3,D17*$M$4,D17*$M$5)</f>
        <v>116</v>
      </c>
      <c r="J17" s="9" t="n">
        <f aca="false">IFERROR(D17/E17,"Sin unidades")</f>
        <v>1933.33333333333</v>
      </c>
      <c r="L17" s="6" t="s">
        <v>77</v>
      </c>
      <c r="M17" s="12" t="n">
        <f aca="false">COUNTIF(F2:F25,"Pendiente")</f>
        <v>6</v>
      </c>
    </row>
    <row r="18" customFormat="false" ht="15" hidden="false" customHeight="false" outlineLevel="0" collapsed="false">
      <c r="A18" s="6" t="s">
        <v>78</v>
      </c>
      <c r="B18" s="6" t="s">
        <v>79</v>
      </c>
      <c r="C18" s="6" t="s">
        <v>23</v>
      </c>
      <c r="D18" s="7" t="n">
        <v>9300</v>
      </c>
      <c r="E18" s="6" t="n">
        <v>8</v>
      </c>
      <c r="F18" s="6" t="s">
        <v>24</v>
      </c>
      <c r="G18" s="6" t="s">
        <v>76</v>
      </c>
      <c r="H18" s="9" t="n">
        <f aca="false">D18*(1+$M$2)</f>
        <v>10788</v>
      </c>
      <c r="I18" s="9" t="n">
        <f aca="false">IF(D18&gt;=$M$3,D18*$M$4,D18*$M$5)</f>
        <v>186</v>
      </c>
      <c r="J18" s="9" t="n">
        <f aca="false">IFERROR(D18/E18,"Sin unidades")</f>
        <v>1162.5</v>
      </c>
      <c r="L18" s="6" t="s">
        <v>80</v>
      </c>
      <c r="M18" s="9" t="n">
        <f aca="false">SUMIF(F2:F25,"Pendiente",D2:D25)</f>
        <v>59300</v>
      </c>
    </row>
    <row r="19" customFormat="false" ht="15" hidden="false" customHeight="false" outlineLevel="0" collapsed="false">
      <c r="A19" s="6" t="s">
        <v>81</v>
      </c>
      <c r="B19" s="6" t="s">
        <v>82</v>
      </c>
      <c r="C19" s="6" t="s">
        <v>23</v>
      </c>
      <c r="D19" s="7" t="n">
        <v>13200</v>
      </c>
      <c r="E19" s="6" t="n">
        <v>0</v>
      </c>
      <c r="F19" s="6" t="s">
        <v>24</v>
      </c>
      <c r="G19" s="6" t="s">
        <v>83</v>
      </c>
      <c r="H19" s="9" t="n">
        <f aca="false">D19*(1+$M$2)</f>
        <v>15312</v>
      </c>
      <c r="I19" s="9" t="n">
        <f aca="false">IF(D19&gt;=$M$3,D19*$M$4,D19*$M$5)</f>
        <v>660</v>
      </c>
      <c r="J19" s="9" t="str">
        <f aca="false">IFERROR(D19/E19,"Sin unidades")</f>
        <v>Sin unidades</v>
      </c>
    </row>
    <row r="20" customFormat="false" ht="15" hidden="false" customHeight="false" outlineLevel="0" collapsed="false">
      <c r="A20" s="6" t="s">
        <v>84</v>
      </c>
      <c r="B20" s="6" t="s">
        <v>85</v>
      </c>
      <c r="C20" s="6" t="s">
        <v>23</v>
      </c>
      <c r="D20" s="7" t="n">
        <v>4200</v>
      </c>
      <c r="E20" s="6" t="n">
        <v>4</v>
      </c>
      <c r="F20" s="6" t="s">
        <v>29</v>
      </c>
      <c r="G20" s="6"/>
      <c r="H20" s="9" t="n">
        <f aca="false">D20*(1+$M$2)</f>
        <v>4872</v>
      </c>
      <c r="I20" s="9" t="n">
        <f aca="false">IF(D20&gt;=$M$3,D20*$M$4,D20*$M$5)</f>
        <v>84</v>
      </c>
      <c r="J20" s="9" t="n">
        <f aca="false">IFERROR(D20/E20,"Sin unidades")</f>
        <v>1050</v>
      </c>
    </row>
    <row r="21" customFormat="false" ht="15" hidden="false" customHeight="false" outlineLevel="0" collapsed="false">
      <c r="A21" s="6" t="s">
        <v>86</v>
      </c>
      <c r="B21" s="6" t="s">
        <v>87</v>
      </c>
      <c r="C21" s="6" t="s">
        <v>23</v>
      </c>
      <c r="D21" s="7" t="n">
        <v>15500</v>
      </c>
      <c r="E21" s="6" t="n">
        <v>4</v>
      </c>
      <c r="F21" s="6" t="s">
        <v>24</v>
      </c>
      <c r="G21" s="6"/>
      <c r="H21" s="9" t="n">
        <f aca="false">D21*(1+$M$2)</f>
        <v>17980</v>
      </c>
      <c r="I21" s="9" t="n">
        <f aca="false">IF(D21&gt;=$M$3,D21*$M$4,D21*$M$5)</f>
        <v>775</v>
      </c>
      <c r="J21" s="9" t="n">
        <f aca="false">IFERROR(D21/E21,"Sin unidades")</f>
        <v>3875</v>
      </c>
    </row>
    <row r="22" customFormat="false" ht="15" hidden="false" customHeight="false" outlineLevel="0" collapsed="false">
      <c r="A22" s="6" t="s">
        <v>88</v>
      </c>
      <c r="B22" s="6" t="s">
        <v>89</v>
      </c>
      <c r="C22" s="6" t="s">
        <v>28</v>
      </c>
      <c r="D22" s="7" t="n">
        <v>6900</v>
      </c>
      <c r="E22" s="6" t="n">
        <v>8</v>
      </c>
      <c r="F22" s="6" t="s">
        <v>24</v>
      </c>
      <c r="G22" s="6"/>
      <c r="H22" s="9" t="n">
        <f aca="false">D22*(1+$M$2)</f>
        <v>8004</v>
      </c>
      <c r="I22" s="9" t="n">
        <f aca="false">IF(D22&gt;=$M$3,D22*$M$4,D22*$M$5)</f>
        <v>138</v>
      </c>
      <c r="J22" s="9" t="n">
        <f aca="false">IFERROR(D22/E22,"Sin unidades")</f>
        <v>862.5</v>
      </c>
    </row>
    <row r="23" customFormat="false" ht="15" hidden="false" customHeight="false" outlineLevel="0" collapsed="false">
      <c r="A23" s="6" t="s">
        <v>90</v>
      </c>
      <c r="B23" s="6" t="s">
        <v>91</v>
      </c>
      <c r="C23" s="6" t="s">
        <v>28</v>
      </c>
      <c r="D23" s="7" t="n">
        <v>11000</v>
      </c>
      <c r="E23" s="6" t="n">
        <v>5</v>
      </c>
      <c r="F23" s="6" t="s">
        <v>24</v>
      </c>
      <c r="G23" s="6"/>
      <c r="H23" s="9" t="n">
        <f aca="false">D23*(1+$M$2)</f>
        <v>12760</v>
      </c>
      <c r="I23" s="9" t="n">
        <f aca="false">IF(D23&gt;=$M$3,D23*$M$4,D23*$M$5)</f>
        <v>550</v>
      </c>
      <c r="J23" s="9" t="n">
        <f aca="false">IFERROR(D23/E23,"Sin unidades")</f>
        <v>2200</v>
      </c>
    </row>
    <row r="24" customFormat="false" ht="15" hidden="false" customHeight="false" outlineLevel="0" collapsed="false">
      <c r="A24" s="6" t="s">
        <v>92</v>
      </c>
      <c r="B24" s="6" t="s">
        <v>93</v>
      </c>
      <c r="C24" s="6" t="s">
        <v>42</v>
      </c>
      <c r="D24" s="7" t="n">
        <v>9700</v>
      </c>
      <c r="E24" s="6" t="n">
        <v>10</v>
      </c>
      <c r="F24" s="6" t="s">
        <v>24</v>
      </c>
      <c r="G24" s="6"/>
      <c r="H24" s="9" t="n">
        <f aca="false">D24*(1+$M$2)</f>
        <v>11252</v>
      </c>
      <c r="I24" s="9" t="n">
        <f aca="false">IF(D24&gt;=$M$3,D24*$M$4,D24*$M$5)</f>
        <v>194</v>
      </c>
      <c r="J24" s="9" t="n">
        <f aca="false">IFERROR(D24/E24,"Sin unidades")</f>
        <v>970</v>
      </c>
    </row>
    <row r="25" customFormat="false" ht="15" hidden="false" customHeight="false" outlineLevel="0" collapsed="false">
      <c r="A25" s="6" t="s">
        <v>94</v>
      </c>
      <c r="B25" s="6" t="s">
        <v>95</v>
      </c>
      <c r="C25" s="6" t="s">
        <v>42</v>
      </c>
      <c r="D25" s="7" t="n">
        <v>5100</v>
      </c>
      <c r="E25" s="6" t="n">
        <v>4</v>
      </c>
      <c r="F25" s="6" t="s">
        <v>24</v>
      </c>
      <c r="G25" s="6" t="s">
        <v>96</v>
      </c>
      <c r="H25" s="9" t="n">
        <f aca="false">D25*(1+$M$2)</f>
        <v>5916</v>
      </c>
      <c r="I25" s="9" t="n">
        <f aca="false">IF(D25&gt;=$M$3,D25*$M$4,D25*$M$5)</f>
        <v>102</v>
      </c>
      <c r="J25" s="9" t="n">
        <f aca="false">IFERROR(D25/E25,"Sin unidades")</f>
        <v>1275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2026-10-16T02:52:07Z</dcterms:created>
  <dc:creator>openpyxl</dc:creator>
  <dc:description/>
  <dc:language>en-US</dc:language>
  <cp:lastModifiedBy/>
  <dcterms:modified xsi:type="dcterms:W3CDTF">2026-10-16T02:52:07Z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